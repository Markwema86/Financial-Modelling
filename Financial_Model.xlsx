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Investment Analysis\Excel Files\"/>
    </mc:Choice>
  </mc:AlternateContent>
  <bookViews>
    <workbookView xWindow="0" yWindow="0" windowWidth="19200" windowHeight="6930" tabRatio="500" activeTab="5"/>
  </bookViews>
  <sheets>
    <sheet name="Cover" sheetId="1" r:id="rId1"/>
    <sheet name="Assumptions" sheetId="2" r:id="rId2"/>
    <sheet name="P&amp;L" sheetId="3" r:id="rId3"/>
    <sheet name="Balance Sheet" sheetId="4" r:id="rId4"/>
    <sheet name="Cash Flow" sheetId="5" r:id="rId5"/>
    <sheet name="Checks" sheetId="6" r:id="rId6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9" i="5" l="1"/>
  <c r="G19" i="5"/>
  <c r="F19" i="5"/>
  <c r="E19" i="5"/>
  <c r="D19" i="5"/>
  <c r="E14" i="5"/>
  <c r="D14" i="5"/>
  <c r="H9" i="5"/>
  <c r="G9" i="5"/>
  <c r="F9" i="5"/>
  <c r="H32" i="4"/>
  <c r="G32" i="4"/>
  <c r="F32" i="4"/>
  <c r="E32" i="4"/>
  <c r="D32" i="4"/>
  <c r="D15" i="4"/>
  <c r="D18" i="4" s="1"/>
  <c r="E14" i="4"/>
  <c r="E13" i="4"/>
  <c r="D7" i="4"/>
  <c r="H25" i="3"/>
  <c r="G25" i="3"/>
  <c r="F25" i="3"/>
  <c r="D16" i="3"/>
  <c r="D15" i="3"/>
  <c r="D14" i="3"/>
  <c r="D17" i="3" s="1"/>
  <c r="D6" i="3"/>
  <c r="D9" i="4" s="1"/>
  <c r="E5" i="3"/>
  <c r="E6" i="3" s="1"/>
  <c r="D5" i="3"/>
  <c r="H12" i="2"/>
  <c r="G12" i="2"/>
  <c r="F12" i="2"/>
  <c r="E12" i="2"/>
  <c r="D12" i="2"/>
  <c r="E16" i="3" l="1"/>
  <c r="E7" i="4"/>
  <c r="F5" i="3"/>
  <c r="F6" i="3" s="1"/>
  <c r="E26" i="4"/>
  <c r="E9" i="3"/>
  <c r="E9" i="4"/>
  <c r="E15" i="3"/>
  <c r="E14" i="3"/>
  <c r="D9" i="3"/>
  <c r="D26" i="4"/>
  <c r="E15" i="4"/>
  <c r="E18" i="4" s="1"/>
  <c r="D24" i="4" l="1"/>
  <c r="D27" i="4" s="1"/>
  <c r="D34" i="4" s="1"/>
  <c r="D8" i="4"/>
  <c r="D10" i="4" s="1"/>
  <c r="D20" i="4" s="1"/>
  <c r="F7" i="4"/>
  <c r="F7" i="5" s="1"/>
  <c r="F15" i="3"/>
  <c r="F9" i="3"/>
  <c r="F13" i="5"/>
  <c r="F23" i="3"/>
  <c r="F9" i="4"/>
  <c r="F14" i="3"/>
  <c r="F10" i="3"/>
  <c r="F16" i="3"/>
  <c r="G5" i="3"/>
  <c r="G6" i="3" s="1"/>
  <c r="E8" i="4"/>
  <c r="E24" i="4"/>
  <c r="E27" i="4" s="1"/>
  <c r="E34" i="4" s="1"/>
  <c r="E10" i="3"/>
  <c r="D10" i="3"/>
  <c r="E17" i="3"/>
  <c r="D11" i="3" l="1"/>
  <c r="D19" i="3"/>
  <c r="G13" i="5"/>
  <c r="G14" i="5" s="1"/>
  <c r="G23" i="3"/>
  <c r="G6" i="5" s="1"/>
  <c r="G14" i="3"/>
  <c r="H5" i="3"/>
  <c r="H6" i="3" s="1"/>
  <c r="G9" i="4"/>
  <c r="G10" i="3"/>
  <c r="G9" i="3"/>
  <c r="G16" i="3"/>
  <c r="G15" i="3"/>
  <c r="G7" i="4"/>
  <c r="G7" i="5" s="1"/>
  <c r="E11" i="3"/>
  <c r="E19" i="3"/>
  <c r="F6" i="5"/>
  <c r="F14" i="4"/>
  <c r="G14" i="4" s="1"/>
  <c r="F11" i="3"/>
  <c r="F14" i="5"/>
  <c r="F13" i="4"/>
  <c r="F17" i="3"/>
  <c r="F19" i="3" s="1"/>
  <c r="F8" i="4"/>
  <c r="F8" i="5" s="1"/>
  <c r="F24" i="4"/>
  <c r="F27" i="4" s="1"/>
  <c r="F34" i="4" s="1"/>
  <c r="F24" i="3" l="1"/>
  <c r="F26" i="3" s="1"/>
  <c r="F20" i="3"/>
  <c r="D20" i="3"/>
  <c r="D24" i="3"/>
  <c r="D26" i="3" s="1"/>
  <c r="G19" i="3"/>
  <c r="G11" i="3"/>
  <c r="E24" i="3"/>
  <c r="E26" i="3" s="1"/>
  <c r="E20" i="3"/>
  <c r="H9" i="4"/>
  <c r="H16" i="3"/>
  <c r="H15" i="3"/>
  <c r="H14" i="3"/>
  <c r="H13" i="5"/>
  <c r="H14" i="5" s="1"/>
  <c r="H7" i="4"/>
  <c r="H7" i="5" s="1"/>
  <c r="H23" i="3"/>
  <c r="H6" i="5" s="1"/>
  <c r="H9" i="3"/>
  <c r="F15" i="4"/>
  <c r="G13" i="4"/>
  <c r="G24" i="4"/>
  <c r="G27" i="4" s="1"/>
  <c r="G34" i="4" s="1"/>
  <c r="G8" i="4"/>
  <c r="G8" i="5" s="1"/>
  <c r="G17" i="3"/>
  <c r="H14" i="4" l="1"/>
  <c r="E27" i="3"/>
  <c r="E29" i="3" s="1"/>
  <c r="G15" i="4"/>
  <c r="H13" i="4"/>
  <c r="H15" i="4" s="1"/>
  <c r="H24" i="4"/>
  <c r="H27" i="4" s="1"/>
  <c r="H34" i="4" s="1"/>
  <c r="H8" i="4"/>
  <c r="H8" i="5" s="1"/>
  <c r="G24" i="3"/>
  <c r="G26" i="3" s="1"/>
  <c r="G20" i="3"/>
  <c r="H10" i="3"/>
  <c r="H17" i="3"/>
  <c r="D29" i="3"/>
  <c r="D27" i="3"/>
  <c r="F27" i="3"/>
  <c r="F29" i="3" s="1"/>
  <c r="E39" i="4" l="1"/>
  <c r="E41" i="4" s="1"/>
  <c r="E5" i="5"/>
  <c r="E30" i="3"/>
  <c r="F5" i="5"/>
  <c r="F39" i="4"/>
  <c r="F30" i="3"/>
  <c r="D30" i="3"/>
  <c r="D39" i="4"/>
  <c r="D41" i="4" s="1"/>
  <c r="D42" i="4" s="1"/>
  <c r="D44" i="4" s="1"/>
  <c r="D5" i="6" s="1"/>
  <c r="D5" i="5"/>
  <c r="G27" i="3"/>
  <c r="G29" i="3" s="1"/>
  <c r="H11" i="3"/>
  <c r="H19" i="3"/>
  <c r="G5" i="5" l="1"/>
  <c r="G39" i="4"/>
  <c r="G30" i="3"/>
  <c r="E7" i="6"/>
  <c r="E10" i="5"/>
  <c r="E21" i="5" s="1"/>
  <c r="E23" i="5" s="1"/>
  <c r="F10" i="5"/>
  <c r="F21" i="5" s="1"/>
  <c r="F7" i="6"/>
  <c r="H20" i="3"/>
  <c r="H24" i="3"/>
  <c r="H26" i="3" s="1"/>
  <c r="D7" i="6"/>
  <c r="D10" i="5"/>
  <c r="D21" i="5" s="1"/>
  <c r="D23" i="5" s="1"/>
  <c r="D6" i="6" s="1"/>
  <c r="D9" i="6" s="1"/>
  <c r="E42" i="4"/>
  <c r="E44" i="4" s="1"/>
  <c r="F38" i="4"/>
  <c r="F41" i="4" s="1"/>
  <c r="G38" i="4" l="1"/>
  <c r="G41" i="4" s="1"/>
  <c r="F42" i="4"/>
  <c r="H27" i="3"/>
  <c r="H29" i="3" s="1"/>
  <c r="F22" i="5"/>
  <c r="F23" i="5" s="1"/>
  <c r="E6" i="4"/>
  <c r="G7" i="6"/>
  <c r="G10" i="5"/>
  <c r="G21" i="5" s="1"/>
  <c r="H5" i="5" l="1"/>
  <c r="H30" i="3"/>
  <c r="H39" i="4"/>
  <c r="E6" i="6"/>
  <c r="E10" i="4"/>
  <c r="E20" i="4" s="1"/>
  <c r="E5" i="6" s="1"/>
  <c r="F44" i="4"/>
  <c r="F6" i="4"/>
  <c r="G22" i="5"/>
  <c r="G23" i="5" s="1"/>
  <c r="H38" i="4"/>
  <c r="G42" i="4"/>
  <c r="F6" i="6" l="1"/>
  <c r="F10" i="4"/>
  <c r="G44" i="4"/>
  <c r="H41" i="4"/>
  <c r="H42" i="4" s="1"/>
  <c r="G6" i="4"/>
  <c r="H22" i="5"/>
  <c r="H23" i="5" s="1"/>
  <c r="H6" i="4" s="1"/>
  <c r="E9" i="6"/>
  <c r="H7" i="6"/>
  <c r="H10" i="5"/>
  <c r="H21" i="5" s="1"/>
  <c r="G10" i="4" l="1"/>
  <c r="G6" i="6"/>
  <c r="F17" i="4"/>
  <c r="F18" i="4" s="1"/>
  <c r="F20" i="4" s="1"/>
  <c r="F5" i="6" s="1"/>
  <c r="F9" i="6" s="1"/>
  <c r="H6" i="6"/>
  <c r="H10" i="4"/>
  <c r="H44" i="4"/>
  <c r="H17" i="4"/>
  <c r="H18" i="4" s="1"/>
  <c r="H20" i="4" l="1"/>
  <c r="H5" i="6" s="1"/>
  <c r="H9" i="6" s="1"/>
  <c r="G17" i="4"/>
  <c r="G18" i="4" s="1"/>
  <c r="G20" i="4" s="1"/>
  <c r="G5" i="6" s="1"/>
  <c r="G9" i="6" s="1"/>
</calcChain>
</file>

<file path=xl/comments1.xml><?xml version="1.0" encoding="utf-8"?>
<comments xmlns="http://schemas.openxmlformats.org/spreadsheetml/2006/main">
  <authors>
    <author>Unknown Author</author>
  </authors>
  <commentList>
    <comment ref="D38" authorId="0" shapeId="0">
      <text>
        <r>
          <rPr>
            <sz val="10"/>
            <rFont val="Arial"/>
            <family val="2"/>
          </rPr>
          <t>In a real model, this is the closing retained earnings from the prior year's audited accounts. Update with actual figures.</t>
        </r>
      </text>
    </comment>
  </commentList>
</comments>
</file>

<file path=xl/sharedStrings.xml><?xml version="1.0" encoding="utf-8"?>
<sst xmlns="http://schemas.openxmlformats.org/spreadsheetml/2006/main" count="244" uniqueCount="218">
  <si>
    <t>Integrated P&amp;L · Balance Sheet · Cash Flow</t>
  </si>
  <si>
    <t>Company Name</t>
  </si>
  <si>
    <t>Prepared By</t>
  </si>
  <si>
    <t>Date</t>
  </si>
  <si>
    <t>Model Version</t>
  </si>
  <si>
    <t>v1.0</t>
  </si>
  <si>
    <t>Currency</t>
  </si>
  <si>
    <t>USD ($000s)</t>
  </si>
  <si>
    <t>Fiscal Year End</t>
  </si>
  <si>
    <t>December 31</t>
  </si>
  <si>
    <t>Colour Conventions</t>
  </si>
  <si>
    <t>Blue text</t>
  </si>
  <si>
    <t>Black text</t>
  </si>
  <si>
    <t>Green text</t>
  </si>
  <si>
    <t>Red text</t>
  </si>
  <si>
    <t>Yellow fill</t>
  </si>
  <si>
    <t>Blue fill</t>
  </si>
  <si>
    <t>Navy fill</t>
  </si>
  <si>
    <t>Model Navigation</t>
  </si>
  <si>
    <t>Cover</t>
  </si>
  <si>
    <t>Assumptions</t>
  </si>
  <si>
    <t>P&amp;L</t>
  </si>
  <si>
    <t>Balance Sheet</t>
  </si>
  <si>
    <t>Cash Flow</t>
  </si>
  <si>
    <t>Operating, investing, financing activities</t>
  </si>
  <si>
    <t>Checks</t>
  </si>
  <si>
    <t>Assumptions &amp; Input Drivers</t>
  </si>
  <si>
    <t>Driver</t>
  </si>
  <si>
    <t>Notes</t>
  </si>
  <si>
    <t>2023</t>
  </si>
  <si>
    <t>2024</t>
  </si>
  <si>
    <t>2025</t>
  </si>
  <si>
    <t>2026</t>
  </si>
  <si>
    <t>2027</t>
  </si>
  <si>
    <t>Revenue Drivers</t>
  </si>
  <si>
    <t>Actual reported revenue</t>
  </si>
  <si>
    <t>YoY % growth assumption</t>
  </si>
  <si>
    <t>Average Selling Price ($)</t>
  </si>
  <si>
    <t>Per unit pricing</t>
  </si>
  <si>
    <t>Units Sold (000s)</t>
  </si>
  <si>
    <t>Volume driver</t>
  </si>
  <si>
    <t>Cost &amp; Margin Drivers</t>
  </si>
  <si>
    <t>Cost of Goods Sold %</t>
  </si>
  <si>
    <t>COGS as % of revenue</t>
  </si>
  <si>
    <t>Gross Margin %</t>
  </si>
  <si>
    <t>R&amp;D % of Revenue</t>
  </si>
  <si>
    <t>Research &amp; development spend</t>
  </si>
  <si>
    <t>S&amp;M % of Revenue</t>
  </si>
  <si>
    <t>Sales &amp; marketing spend</t>
  </si>
  <si>
    <t>G&amp;A % of Revenue</t>
  </si>
  <si>
    <t>General &amp; admin spend</t>
  </si>
  <si>
    <t>Balance Sheet Drivers</t>
  </si>
  <si>
    <t>Days Sales Outstanding (DSO)</t>
  </si>
  <si>
    <t>Receivables collection days</t>
  </si>
  <si>
    <t>Days Inventory Outstanding (DIO)</t>
  </si>
  <si>
    <t>Inventory holding days</t>
  </si>
  <si>
    <t>Days Payable Outstanding (DPO)</t>
  </si>
  <si>
    <t>Payables payment days</t>
  </si>
  <si>
    <t>Capital &amp; Tax Assumptions</t>
  </si>
  <si>
    <t>Capex % of Revenue</t>
  </si>
  <si>
    <t>Capital expenditure assumption</t>
  </si>
  <si>
    <t>Depreciation Life (years)</t>
  </si>
  <si>
    <t>Straight-line useful life</t>
  </si>
  <si>
    <t>Tax Rate</t>
  </si>
  <si>
    <t>Effective corporate tax rate</t>
  </si>
  <si>
    <t>Interest Rate on Debt</t>
  </si>
  <si>
    <t>Annual rate on outstanding debt</t>
  </si>
  <si>
    <t>Income Statement  ($000s)</t>
  </si>
  <si>
    <t>Line Item</t>
  </si>
  <si>
    <t>2023A</t>
  </si>
  <si>
    <t>2024A</t>
  </si>
  <si>
    <t>2025E</t>
  </si>
  <si>
    <t>2026E</t>
  </si>
  <si>
    <t>2027E</t>
  </si>
  <si>
    <t>Revenue</t>
  </si>
  <si>
    <t>From Assumptions tab</t>
  </si>
  <si>
    <t>Total Revenue</t>
  </si>
  <si>
    <t>Cost of Goods Sold</t>
  </si>
  <si>
    <t>COGS</t>
  </si>
  <si>
    <t>Revenue × COGS %</t>
  </si>
  <si>
    <t>Gross Profit</t>
  </si>
  <si>
    <t>Gross Profit ÷ Revenue</t>
  </si>
  <si>
    <t>Operating Expenses</t>
  </si>
  <si>
    <t>Research &amp; Development</t>
  </si>
  <si>
    <t>Revenue × R&amp;D %</t>
  </si>
  <si>
    <t>Sales &amp; Marketing</t>
  </si>
  <si>
    <t>Revenue × S&amp;M %</t>
  </si>
  <si>
    <t>General &amp; Administrative</t>
  </si>
  <si>
    <t>Revenue × G&amp;A %</t>
  </si>
  <si>
    <t>Total Operating Expenses</t>
  </si>
  <si>
    <t>EBITDA</t>
  </si>
  <si>
    <t>Earnings before interest, tax, D&amp;A</t>
  </si>
  <si>
    <t>EBITDA Margin %</t>
  </si>
  <si>
    <t>EBITDA ÷ Revenue</t>
  </si>
  <si>
    <t>Below EBITDA</t>
  </si>
  <si>
    <t>Depreciation &amp; Amortisation</t>
  </si>
  <si>
    <t>Capex ÷ useful life (simplified)</t>
  </si>
  <si>
    <t>EBIT (Operating Profit)</t>
  </si>
  <si>
    <t>Interest Expense</t>
  </si>
  <si>
    <t>Debt × interest rate</t>
  </si>
  <si>
    <t>Pre-Tax Income</t>
  </si>
  <si>
    <t>Income Tax</t>
  </si>
  <si>
    <t>Pre-Tax Income × tax rate</t>
  </si>
  <si>
    <t>Net Income</t>
  </si>
  <si>
    <t>Net Margin %</t>
  </si>
  <si>
    <t>Net Income ÷ Revenue</t>
  </si>
  <si>
    <t>Balance Sheet  ($000s)</t>
  </si>
  <si>
    <t>Assets</t>
  </si>
  <si>
    <t>Current Assets</t>
  </si>
  <si>
    <t>Cash &amp; Cash Equivalents</t>
  </si>
  <si>
    <t>Accounts Receivable</t>
  </si>
  <si>
    <t>DSO × Revenue / 365</t>
  </si>
  <si>
    <t>Inventory</t>
  </si>
  <si>
    <t>DIO × COGS / 365</t>
  </si>
  <si>
    <t>Other Current Assets</t>
  </si>
  <si>
    <t>Total Current Assets</t>
  </si>
  <si>
    <t>Non-Current Assets</t>
  </si>
  <si>
    <t>Property, Plant &amp; Equipment (gross)</t>
  </si>
  <si>
    <t>Prior year + Capex</t>
  </si>
  <si>
    <t>Accumulated Depreciation</t>
  </si>
  <si>
    <t>Cumulative D&amp;A</t>
  </si>
  <si>
    <t>Net PP&amp;E</t>
  </si>
  <si>
    <t>Intangibles &amp; Other LT Assets</t>
  </si>
  <si>
    <t>Deferred Tax &amp; Other Long-Term Assets (Plug)</t>
  </si>
  <si>
    <t>Total Non-Current Assets</t>
  </si>
  <si>
    <t>TOTAL ASSETS</t>
  </si>
  <si>
    <t>Liabilities</t>
  </si>
  <si>
    <t>Current Liabilities</t>
  </si>
  <si>
    <t>Accounts Payable</t>
  </si>
  <si>
    <t>DPO × COGS / 365</t>
  </si>
  <si>
    <t>Short-Term Debt</t>
  </si>
  <si>
    <t>Other Current Liabilities</t>
  </si>
  <si>
    <t>Total Current Liabilities</t>
  </si>
  <si>
    <t>Non-Current Liabilities</t>
  </si>
  <si>
    <t>Long-Term Debt</t>
  </si>
  <si>
    <t>Scheduled repayment</t>
  </si>
  <si>
    <t>Other Long-Term Liabilities</t>
  </si>
  <si>
    <t>Total Non-Current Liabilities</t>
  </si>
  <si>
    <t>TOTAL LIABILITIES</t>
  </si>
  <si>
    <t>Equity</t>
  </si>
  <si>
    <t>Share Capital &amp; Additional Paid-in Capital</t>
  </si>
  <si>
    <t>Prior year retained earnings</t>
  </si>
  <si>
    <t>Net Income (current year)</t>
  </si>
  <si>
    <t>Dividends Paid</t>
  </si>
  <si>
    <t>TOTAL EQUITY</t>
  </si>
  <si>
    <t>TOTAL LIABILITIES &amp; EQUITY</t>
  </si>
  <si>
    <t>Cash Flow Statement  ($000s)</t>
  </si>
  <si>
    <t>Operating Activities</t>
  </si>
  <si>
    <t>From P&amp;L</t>
  </si>
  <si>
    <t>Add: Depreciation &amp; Amortisation</t>
  </si>
  <si>
    <t>Change in Accounts Receivable</t>
  </si>
  <si>
    <t>Increase = cash outflow</t>
  </si>
  <si>
    <t>Change in Inventory</t>
  </si>
  <si>
    <t>Change in Accounts Payable</t>
  </si>
  <si>
    <t>Increase = cash inflow</t>
  </si>
  <si>
    <t>Cash from Operations (CFO)</t>
  </si>
  <si>
    <t>Investing Activities</t>
  </si>
  <si>
    <t>Capital Expenditures</t>
  </si>
  <si>
    <t>Capex = Revenue × Capex %</t>
  </si>
  <si>
    <t>Cash from Investing (CFI)</t>
  </si>
  <si>
    <t>Financing Activities</t>
  </si>
  <si>
    <t>Debt Repayment</t>
  </si>
  <si>
    <t>Scheduled principal repayment</t>
  </si>
  <si>
    <t>Cash from Financing (CFF)</t>
  </si>
  <si>
    <t>Net Change in Cash</t>
  </si>
  <si>
    <t>Opening Cash Balance</t>
  </si>
  <si>
    <t>Prior year closing cash</t>
  </si>
  <si>
    <t>Closing Cash Balance</t>
  </si>
  <si>
    <t>Model Integrity Checks</t>
  </si>
  <si>
    <t>Check</t>
  </si>
  <si>
    <t>Description</t>
  </si>
  <si>
    <t>Balance Sheet Checks</t>
  </si>
  <si>
    <t>Balance Sheet balances?</t>
  </si>
  <si>
    <t>Total Assets = Total Liabilities + Equity (rounded to $000)</t>
  </si>
  <si>
    <t>Cash ties to Cash Flow?</t>
  </si>
  <si>
    <t>Closing cash on Cash Flow = Cash on Balance Sheet.</t>
  </si>
  <si>
    <t>Net Income ties to P&amp;L?</t>
  </si>
  <si>
    <t>Net Income on Cash Flow = Net Income on P&amp;L.</t>
  </si>
  <si>
    <t>Status (OK if zero, ERROR if non-zero)</t>
  </si>
  <si>
    <t>How to use this sheet</t>
  </si>
  <si>
    <t>1.  All checks above should show OK (i.e. the difference = $0). If any show ERROR, the model has a linking or formula issue.</t>
  </si>
  <si>
    <t>2.  The Balance Sheet check is the most important. If Assets ≠ Liabilities + Equity, something is missing or incorrectly linked.</t>
  </si>
  <si>
    <t>3.  Fix errors in the order shown: P&amp;L first, then Cash Flow, then Balance Sheet. Errors cascade top-down.</t>
  </si>
  <si>
    <t>4.  Green text throughout the model = cross-sheet formula. Click a green cell and press Ctrl+[ to trace where it pulls from.</t>
  </si>
  <si>
    <t>Naviel</t>
  </si>
  <si>
    <t>Mark Wema</t>
  </si>
  <si>
    <t>Hardcoded inputs - numbers I type in (assumptions, drivers)</t>
  </si>
  <si>
    <t>Calculated values - all formulas; never hardcode in these cells</t>
  </si>
  <si>
    <t>Cross-sheet links - values pulled from another tab in this workbook</t>
  </si>
  <si>
    <t>External links - data linked from another file entirely</t>
  </si>
  <si>
    <t>Flagged cells - assumptions requiring review or data entry</t>
  </si>
  <si>
    <t>Section headers - group rows within each statement</t>
  </si>
  <si>
    <t>Column headers - year labels, statement titles</t>
  </si>
  <si>
    <t>This page - model info and colour guide</t>
  </si>
  <si>
    <t>All input drivers - only blue cells are edited here</t>
  </si>
  <si>
    <t>Income Statement - revenue down to net income</t>
  </si>
  <si>
    <t>Assets, liabilities and equity - must balance</t>
  </si>
  <si>
    <t>Model integrity - balance check, error flags</t>
  </si>
  <si>
    <t xml:space="preserve">Financial Model </t>
  </si>
  <si>
    <t>Only edit BLUE cells</t>
  </si>
  <si>
    <t>Revenue ($000s) - Historical</t>
  </si>
  <si>
    <t>Revenue Growth Rate - Forecast</t>
  </si>
  <si>
    <t>Calculated - 1 minus COGS %</t>
  </si>
  <si>
    <t>Historical (2023-2024)</t>
  </si>
  <si>
    <t>Forecast (2025-2027)  *  edit blue cells</t>
  </si>
  <si>
    <t>From Cash Flow statement - plug</t>
  </si>
  <si>
    <t>Placeholder - update with actuals</t>
  </si>
  <si>
    <t>Held flat - update if material</t>
  </si>
  <si>
    <t>Auto-balancing item - replace with actual deferred tax assets</t>
  </si>
  <si>
    <t>Held flat - revolver placeholder</t>
  </si>
  <si>
    <t>Accruals, deferred revenue - update with actuals</t>
  </si>
  <si>
    <t>Retained Earnings - Opening</t>
  </si>
  <si>
    <t>From P&amp;L - green = cross-sheet link</t>
  </si>
  <si>
    <t>Set to zero - update if applicable</t>
  </si>
  <si>
    <t>Retained Earnings - Closing</t>
  </si>
  <si>
    <t>Non-cash - add back</t>
  </si>
  <si>
    <t>Green cell = $0 (balanced )     Red cell = non-zero (investigate )</t>
  </si>
  <si>
    <t>5.  Blue text = hardcoded input. These are the only cells you should ever manually type into - everything else is calculated.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</si>
</sst>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\$#,##0;&quot;($&quot;#,##0\);\-"/>
    <numFmt numFmtId="165" formatCode="0.0%;\(0.0%\);\-"/>
    <numFmt numFmtId="166" formatCode="#,##0;\-"/>
    <numFmt numFmtId="167" formatCode="[Red]#,##0;[Red]\-#,##0;0"/>
  </numFmts>
  <fonts count="1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8"/>
      <color rgb="FFFFFFFF"/>
      <name val="Arial"/>
      <family val="2"/>
    </font>
    <font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2E4057"/>
      <name val="Arial"/>
      <family val="2"/>
    </font>
    <font>
      <b/>
      <sz val="14"/>
      <color rgb="FFFFFFFF"/>
      <name val="Arial"/>
      <family val="2"/>
    </font>
    <font>
      <i/>
      <sz val="9"/>
      <color rgb="FFBDC3C7"/>
      <name val="Arial"/>
      <family val="2"/>
    </font>
    <font>
      <b/>
      <sz val="9"/>
      <color rgb="FF2E4057"/>
      <name val="Arial"/>
      <family val="2"/>
    </font>
    <font>
      <i/>
      <sz val="9"/>
      <color rgb="FF7F8C8D"/>
      <name val="Arial"/>
      <family val="2"/>
    </font>
    <font>
      <sz val="9"/>
      <color rgb="FFFFFFFF"/>
      <name val="Arial"/>
      <family val="2"/>
    </font>
    <font>
      <sz val="10"/>
      <color rgb="FF00800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10"/>
      <color rgb="FF59595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2D3D"/>
        <bgColor rgb="FF2E4057"/>
      </patternFill>
    </fill>
    <fill>
      <patternFill patternType="solid">
        <fgColor rgb="FF2E4057"/>
        <bgColor rgb="FF1F2D3D"/>
      </patternFill>
    </fill>
    <fill>
      <patternFill patternType="solid">
        <fgColor rgb="FF2980B9"/>
        <bgColor rgb="FF0066CC"/>
      </patternFill>
    </fill>
    <fill>
      <patternFill patternType="solid">
        <fgColor rgb="FFF2F3F4"/>
        <bgColor rgb="FFEBF5FB"/>
      </patternFill>
    </fill>
    <fill>
      <patternFill patternType="solid">
        <fgColor rgb="FFEBF5FB"/>
        <bgColor rgb="FFF2F3F4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3300"/>
      </patternFill>
    </fill>
    <fill>
      <patternFill patternType="solid">
        <fgColor rgb="FF008000"/>
        <bgColor rgb="FF276221"/>
      </patternFill>
    </fill>
    <fill>
      <patternFill patternType="solid">
        <fgColor rgb="FFFF0000"/>
        <bgColor rgb="FF9C0006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E1F5EE"/>
      </patternFill>
    </fill>
    <fill>
      <patternFill patternType="solid">
        <fgColor rgb="FFE1F5EE"/>
        <bgColor rgb="FFEBF5FB"/>
      </patternFill>
    </fill>
  </fills>
  <borders count="5">
    <border>
      <left/>
      <right/>
      <top/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/>
      <top/>
      <bottom style="thin">
        <color rgb="FFBDC3C7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0" fillId="4" borderId="0" xfId="0" applyFill="1" applyBorder="1" applyAlignment="1"/>
    <xf numFmtId="0" fontId="3" fillId="3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11" fillId="0" borderId="0" xfId="0" applyFont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left" vertical="center" indent="1"/>
    </xf>
    <xf numFmtId="0" fontId="8" fillId="0" borderId="4" xfId="0" applyFont="1" applyBorder="1" applyAlignment="1">
      <alignment horizontal="left" vertical="center" indent="1"/>
    </xf>
    <xf numFmtId="0" fontId="13" fillId="0" borderId="4" xfId="0" applyFont="1" applyBorder="1" applyAlignment="1">
      <alignment horizontal="left" vertical="center" indent="1"/>
    </xf>
    <xf numFmtId="164" fontId="5" fillId="6" borderId="2" xfId="0" applyNumberFormat="1" applyFont="1" applyFill="1" applyBorder="1" applyAlignment="1">
      <alignment horizontal="center" vertical="center" wrapText="1"/>
    </xf>
    <xf numFmtId="165" fontId="5" fillId="6" borderId="2" xfId="0" applyNumberFormat="1" applyFont="1" applyFill="1" applyBorder="1" applyAlignment="1">
      <alignment horizontal="center" vertical="center" wrapText="1"/>
    </xf>
    <xf numFmtId="166" fontId="5" fillId="6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 indent="1"/>
    </xf>
    <xf numFmtId="164" fontId="15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2"/>
    </xf>
    <xf numFmtId="164" fontId="4" fillId="12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4" fontId="16" fillId="6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indent="2"/>
    </xf>
    <xf numFmtId="164" fontId="5" fillId="0" borderId="2" xfId="0" applyNumberFormat="1" applyFont="1" applyBorder="1" applyAlignment="1">
      <alignment horizontal="center" vertical="center"/>
    </xf>
    <xf numFmtId="164" fontId="15" fillId="13" borderId="2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167" fontId="8" fillId="6" borderId="2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left" vertical="center" indent="1"/>
    </xf>
    <xf numFmtId="0" fontId="14" fillId="4" borderId="0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18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0" fontId="8" fillId="6" borderId="4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left" vertical="center" wrapText="1" indent="1"/>
    </xf>
    <xf numFmtId="14" fontId="5" fillId="6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44">
    <dxf>
      <font>
        <b/>
        <sz val="10"/>
        <color rgb="FF9C0006"/>
        <name val="Arial"/>
      </font>
      <fill>
        <patternFill>
          <bgColor rgb="FFFFC7CE"/>
        </patternFill>
      </fill>
    </dxf>
    <dxf>
      <font>
        <b/>
        <sz val="10"/>
        <color rgb="FF276221"/>
        <name val="Arial"/>
      </font>
      <fill>
        <patternFill>
          <bgColor rgb="FFC6EFCE"/>
        </patternFill>
      </fill>
    </dxf>
    <dxf>
      <font>
        <b/>
        <sz val="10"/>
        <color rgb="FF9C0006"/>
        <name val="Arial"/>
      </font>
      <fill>
        <patternFill>
          <bgColor rgb="FFFFC7CE"/>
        </patternFill>
      </fill>
    </dxf>
    <dxf>
      <font>
        <b/>
        <sz val="10"/>
        <color rgb="FF276221"/>
        <name val="Arial"/>
      </font>
      <fill>
        <patternFill>
          <bgColor rgb="FFC6EFCE"/>
        </patternFill>
      </fill>
    </dxf>
    <dxf>
      <font>
        <color rgb="FF7B241C"/>
      </font>
      <fill>
        <patternFill>
          <bgColor rgb="FFFDECEA"/>
        </patternFill>
      </fill>
    </dxf>
    <dxf>
      <font>
        <color rgb="FF0A5E3F"/>
      </font>
      <fill>
        <patternFill>
          <bgColor rgb="FFE1F5EE"/>
        </patternFill>
      </fill>
    </dxf>
    <dxf>
      <font>
        <color rgb="FF7B241C"/>
      </font>
      <fill>
        <patternFill>
          <bgColor rgb="FFFDECEA"/>
        </patternFill>
      </fill>
    </dxf>
    <dxf>
      <font>
        <color rgb="FF0A5E3F"/>
      </font>
      <fill>
        <patternFill>
          <bgColor rgb="FFE1F5EE"/>
        </patternFill>
      </fill>
    </dxf>
    <dxf>
      <font>
        <color rgb="FF7B241C"/>
      </font>
      <fill>
        <patternFill>
          <bgColor rgb="FFFDECEA"/>
        </patternFill>
      </fill>
    </dxf>
    <dxf>
      <font>
        <color rgb="FF0A5E3F"/>
      </font>
      <fill>
        <patternFill>
          <bgColor rgb="FFE1F5EE"/>
        </patternFill>
      </fill>
    </dxf>
    <dxf>
      <font>
        <color rgb="FF7B241C"/>
      </font>
      <fill>
        <patternFill>
          <bgColor rgb="FFFDECEA"/>
        </patternFill>
      </fill>
    </dxf>
    <dxf>
      <font>
        <color rgb="FF0A5E3F"/>
      </font>
      <fill>
        <patternFill>
          <bgColor rgb="FFE1F5EE"/>
        </patternFill>
      </fill>
    </dxf>
    <dxf>
      <font>
        <color rgb="FF7B241C"/>
      </font>
      <fill>
        <patternFill>
          <bgColor rgb="FFFDECEA"/>
        </patternFill>
      </fill>
    </dxf>
    <dxf>
      <font>
        <color rgb="FF0A5E3F"/>
      </font>
      <fill>
        <patternFill>
          <bgColor rgb="FFE1F5EE"/>
        </patternFill>
      </fill>
    </dxf>
    <dxf>
      <font>
        <color rgb="FF7B241C"/>
      </font>
      <fill>
        <patternFill>
          <bgColor rgb="FFFDECEA"/>
        </patternFill>
      </fill>
    </dxf>
    <dxf>
      <font>
        <color rgb="FF0A5E3F"/>
      </font>
      <fill>
        <patternFill>
          <bgColor rgb="FFE1F5EE"/>
        </patternFill>
      </fill>
    </dxf>
    <dxf>
      <font>
        <color rgb="FF7B241C"/>
      </font>
      <fill>
        <patternFill>
          <bgColor rgb="FFFDECEA"/>
        </patternFill>
      </fill>
    </dxf>
    <dxf>
      <font>
        <color rgb="FF0A5E3F"/>
      </font>
      <fill>
        <patternFill>
          <bgColor rgb="FFE1F5EE"/>
        </patternFill>
      </fill>
    </dxf>
    <dxf>
      <font>
        <color rgb="FF7B241C"/>
      </font>
      <fill>
        <patternFill>
          <bgColor rgb="FFFDECEA"/>
        </patternFill>
      </fill>
    </dxf>
    <dxf>
      <font>
        <color rgb="FF0A5E3F"/>
      </font>
      <fill>
        <patternFill>
          <bgColor rgb="FFE1F5EE"/>
        </patternFill>
      </fill>
    </dxf>
    <dxf>
      <font>
        <color rgb="FF7B241C"/>
      </font>
      <fill>
        <patternFill>
          <bgColor rgb="FFFDECEA"/>
        </patternFill>
      </fill>
    </dxf>
    <dxf>
      <font>
        <color rgb="FF0A5E3F"/>
      </font>
      <fill>
        <patternFill>
          <bgColor rgb="FFE1F5EE"/>
        </patternFill>
      </fill>
    </dxf>
    <dxf>
      <font>
        <color rgb="FF7B241C"/>
      </font>
      <fill>
        <patternFill>
          <bgColor rgb="FFFDECEA"/>
        </patternFill>
      </fill>
    </dxf>
    <dxf>
      <font>
        <color rgb="FF0A5E3F"/>
      </font>
      <fill>
        <patternFill>
          <bgColor rgb="FFE1F5EE"/>
        </patternFill>
      </fill>
    </dxf>
    <dxf>
      <font>
        <color rgb="FF7B241C"/>
      </font>
      <fill>
        <patternFill>
          <bgColor rgb="FFFDECEA"/>
        </patternFill>
      </fill>
    </dxf>
    <dxf>
      <font>
        <color rgb="FF0A5E3F"/>
      </font>
      <fill>
        <patternFill>
          <bgColor rgb="FFE1F5EE"/>
        </patternFill>
      </fill>
    </dxf>
    <dxf>
      <font>
        <color rgb="FF7B241C"/>
      </font>
      <fill>
        <patternFill>
          <bgColor rgb="FFFDECEA"/>
        </patternFill>
      </fill>
    </dxf>
    <dxf>
      <font>
        <color rgb="FF0A5E3F"/>
      </font>
      <fill>
        <patternFill>
          <bgColor rgb="FFE1F5EE"/>
        </patternFill>
      </fill>
    </dxf>
    <dxf>
      <font>
        <color rgb="FF7B241C"/>
      </font>
      <fill>
        <patternFill>
          <bgColor rgb="FFFDECEA"/>
        </patternFill>
      </fill>
    </dxf>
    <dxf>
      <font>
        <color rgb="FF0A5E3F"/>
      </font>
      <fill>
        <patternFill>
          <bgColor rgb="FFE1F5EE"/>
        </patternFill>
      </fill>
    </dxf>
    <dxf>
      <font>
        <color rgb="FF7B241C"/>
      </font>
      <fill>
        <patternFill>
          <bgColor rgb="FFFDECEA"/>
        </patternFill>
      </fill>
    </dxf>
    <dxf>
      <font>
        <color rgb="FF0A5E3F"/>
      </font>
      <fill>
        <patternFill>
          <bgColor rgb="FFE1F5EE"/>
        </patternFill>
      </fill>
    </dxf>
    <dxf>
      <font>
        <color rgb="FF7B241C"/>
      </font>
      <fill>
        <patternFill>
          <bgColor rgb="FFFDECEA"/>
        </patternFill>
      </fill>
    </dxf>
    <dxf>
      <font>
        <color rgb="FF0A5E3F"/>
      </font>
      <fill>
        <patternFill>
          <bgColor rgb="FFE1F5EE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1D9E75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1D9E75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1D9E75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1D9E75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1D9E7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2980B9"/>
      <rgbColor rgb="FFBDC3C7"/>
      <rgbColor rgb="FF7F8C8D"/>
      <rgbColor rgb="FF9999FF"/>
      <rgbColor rgb="FFC0392B"/>
      <rgbColor rgb="FFF2F3F4"/>
      <rgbColor rgb="FFE1F5EE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7B241C"/>
      <rgbColor rgb="FF0A5E3F"/>
      <rgbColor rgb="FF0000FF"/>
      <rgbColor rgb="FF00CCFF"/>
      <rgbColor rgb="FFEBF5FB"/>
      <rgbColor rgb="FFC6EFCE"/>
      <rgbColor rgb="FFFDECEA"/>
      <rgbColor rgb="FF99CCFF"/>
      <rgbColor rgb="FFFF99CC"/>
      <rgbColor rgb="FFCC99FF"/>
      <rgbColor rgb="FFFFC7CE"/>
      <rgbColor rgb="FF534AB7"/>
      <rgbColor rgb="FF33CCCC"/>
      <rgbColor rgb="FF99CC00"/>
      <rgbColor rgb="FFFFCC00"/>
      <rgbColor rgb="FFFF9900"/>
      <rgbColor rgb="FFD85A30"/>
      <rgbColor rgb="FF595959"/>
      <rgbColor rgb="FF969696"/>
      <rgbColor rgb="FF003366"/>
      <rgbColor rgb="FF1D9E75"/>
      <rgbColor rgb="FF003300"/>
      <rgbColor rgb="FF276221"/>
      <rgbColor rgb="FFA32D2D"/>
      <rgbColor rgb="FF993366"/>
      <rgbColor rgb="FF2E4057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D3D"/>
  </sheetPr>
  <dimension ref="A1:I29"/>
  <sheetViews>
    <sheetView showGridLines="0" topLeftCell="A20" zoomScaleNormal="100" workbookViewId="0">
      <selection activeCell="A2" sqref="A2:I2"/>
    </sheetView>
  </sheetViews>
  <sheetFormatPr defaultColWidth="8.6328125" defaultRowHeight="14.5" x14ac:dyDescent="0.35"/>
  <cols>
    <col min="1" max="9" width="18" style="15" customWidth="1"/>
  </cols>
  <sheetData>
    <row r="1" spans="1:9" ht="7.5" customHeight="1" x14ac:dyDescent="0.35"/>
    <row r="2" spans="1:9" ht="60" customHeight="1" x14ac:dyDescent="0.35">
      <c r="A2" s="14" t="s">
        <v>198</v>
      </c>
      <c r="B2" s="14"/>
      <c r="C2" s="14"/>
      <c r="D2" s="14"/>
      <c r="E2" s="14"/>
      <c r="F2" s="14"/>
      <c r="G2" s="14"/>
      <c r="H2" s="14"/>
      <c r="I2" s="14"/>
    </row>
    <row r="3" spans="1:9" ht="30" customHeight="1" x14ac:dyDescent="0.35">
      <c r="A3" s="13" t="s">
        <v>0</v>
      </c>
      <c r="B3" s="13"/>
      <c r="C3" s="13"/>
      <c r="D3" s="13"/>
      <c r="E3" s="13"/>
      <c r="F3" s="13"/>
      <c r="G3" s="13"/>
      <c r="H3" s="13"/>
      <c r="I3" s="13"/>
    </row>
    <row r="4" spans="1:9" ht="6" customHeight="1" x14ac:dyDescent="0.35">
      <c r="A4" s="12"/>
      <c r="B4" s="12"/>
      <c r="C4" s="12"/>
      <c r="D4" s="12"/>
      <c r="E4" s="12"/>
      <c r="F4" s="12"/>
      <c r="G4" s="12"/>
      <c r="H4" s="12"/>
      <c r="I4" s="12"/>
    </row>
    <row r="5" spans="1:9" ht="21.75" customHeight="1" x14ac:dyDescent="0.35"/>
    <row r="6" spans="1:9" ht="21.75" customHeight="1" x14ac:dyDescent="0.35">
      <c r="B6" s="11" t="s">
        <v>1</v>
      </c>
      <c r="C6" s="11"/>
      <c r="D6" s="11"/>
      <c r="E6" s="10" t="s">
        <v>184</v>
      </c>
      <c r="F6" s="10"/>
      <c r="G6" s="10"/>
      <c r="H6" s="10"/>
    </row>
    <row r="7" spans="1:9" ht="21.75" customHeight="1" x14ac:dyDescent="0.35">
      <c r="B7" s="11" t="s">
        <v>2</v>
      </c>
      <c r="C7" s="11"/>
      <c r="D7" s="11"/>
      <c r="E7" s="10" t="s">
        <v>185</v>
      </c>
      <c r="F7" s="10"/>
      <c r="G7" s="10"/>
      <c r="H7" s="10"/>
    </row>
    <row r="8" spans="1:9" ht="21.75" customHeight="1" x14ac:dyDescent="0.35">
      <c r="B8" s="11" t="s">
        <v>3</v>
      </c>
      <c r="C8" s="11"/>
      <c r="D8" s="11"/>
      <c r="E8" s="50">
        <v>46027</v>
      </c>
      <c r="F8" s="10"/>
      <c r="G8" s="10"/>
      <c r="H8" s="10"/>
    </row>
    <row r="9" spans="1:9" ht="21.75" customHeight="1" x14ac:dyDescent="0.35">
      <c r="B9" s="11" t="s">
        <v>4</v>
      </c>
      <c r="C9" s="11"/>
      <c r="D9" s="11"/>
      <c r="E9" s="10" t="s">
        <v>5</v>
      </c>
      <c r="F9" s="10"/>
      <c r="G9" s="10"/>
      <c r="H9" s="10"/>
    </row>
    <row r="10" spans="1:9" ht="21.75" customHeight="1" x14ac:dyDescent="0.35">
      <c r="B10" s="11" t="s">
        <v>6</v>
      </c>
      <c r="C10" s="11"/>
      <c r="D10" s="11"/>
      <c r="E10" s="10" t="s">
        <v>7</v>
      </c>
      <c r="F10" s="10"/>
      <c r="G10" s="10"/>
      <c r="H10" s="10"/>
    </row>
    <row r="11" spans="1:9" ht="21.75" customHeight="1" x14ac:dyDescent="0.35">
      <c r="B11" s="11" t="s">
        <v>8</v>
      </c>
      <c r="C11" s="11"/>
      <c r="D11" s="11"/>
      <c r="E11" s="10" t="s">
        <v>9</v>
      </c>
      <c r="F11" s="10"/>
      <c r="G11" s="10"/>
      <c r="H11" s="10"/>
    </row>
    <row r="12" spans="1:9" ht="21.75" customHeight="1" x14ac:dyDescent="0.35"/>
    <row r="13" spans="1:9" ht="21.75" customHeight="1" x14ac:dyDescent="0.35"/>
    <row r="14" spans="1:9" ht="21.75" customHeight="1" x14ac:dyDescent="0.35">
      <c r="B14" s="9" t="s">
        <v>10</v>
      </c>
      <c r="C14" s="9"/>
      <c r="D14" s="9"/>
      <c r="E14" s="9"/>
      <c r="F14" s="9"/>
      <c r="G14" s="9"/>
      <c r="H14" s="9"/>
    </row>
    <row r="15" spans="1:9" ht="21.75" customHeight="1" x14ac:dyDescent="0.35">
      <c r="B15" s="8" t="s">
        <v>11</v>
      </c>
      <c r="C15" s="8"/>
      <c r="D15" s="7" t="s">
        <v>186</v>
      </c>
      <c r="E15" s="7"/>
      <c r="F15" s="7"/>
      <c r="G15" s="7"/>
      <c r="H15" s="7"/>
    </row>
    <row r="16" spans="1:9" ht="21.75" customHeight="1" x14ac:dyDescent="0.35">
      <c r="B16" s="6" t="s">
        <v>12</v>
      </c>
      <c r="C16" s="6"/>
      <c r="D16" s="7" t="s">
        <v>187</v>
      </c>
      <c r="E16" s="7"/>
      <c r="F16" s="7"/>
      <c r="G16" s="7"/>
      <c r="H16" s="7"/>
    </row>
    <row r="17" spans="2:8" ht="21.75" customHeight="1" x14ac:dyDescent="0.35">
      <c r="B17" s="5" t="s">
        <v>13</v>
      </c>
      <c r="C17" s="5"/>
      <c r="D17" s="7" t="s">
        <v>188</v>
      </c>
      <c r="E17" s="7"/>
      <c r="F17" s="7"/>
      <c r="G17" s="7"/>
      <c r="H17" s="7"/>
    </row>
    <row r="18" spans="2:8" ht="21.75" customHeight="1" x14ac:dyDescent="0.35">
      <c r="B18" s="4" t="s">
        <v>14</v>
      </c>
      <c r="C18" s="4"/>
      <c r="D18" s="7" t="s">
        <v>189</v>
      </c>
      <c r="E18" s="7"/>
      <c r="F18" s="7"/>
      <c r="G18" s="7"/>
      <c r="H18" s="7"/>
    </row>
    <row r="19" spans="2:8" ht="21.75" customHeight="1" x14ac:dyDescent="0.35">
      <c r="B19" s="3" t="s">
        <v>15</v>
      </c>
      <c r="C19" s="3"/>
      <c r="D19" s="7" t="s">
        <v>190</v>
      </c>
      <c r="E19" s="7"/>
      <c r="F19" s="7"/>
      <c r="G19" s="7"/>
      <c r="H19" s="7"/>
    </row>
    <row r="20" spans="2:8" ht="15" customHeight="1" x14ac:dyDescent="0.35">
      <c r="B20" s="2" t="s">
        <v>16</v>
      </c>
      <c r="C20" s="2"/>
      <c r="D20" s="7" t="s">
        <v>191</v>
      </c>
      <c r="E20" s="7"/>
      <c r="F20" s="7"/>
      <c r="G20" s="7"/>
      <c r="H20" s="7"/>
    </row>
    <row r="21" spans="2:8" ht="15" customHeight="1" x14ac:dyDescent="0.35">
      <c r="B21" s="1" t="s">
        <v>17</v>
      </c>
      <c r="C21" s="1"/>
      <c r="D21" s="7" t="s">
        <v>192</v>
      </c>
      <c r="E21" s="7"/>
      <c r="F21" s="7"/>
      <c r="G21" s="7"/>
      <c r="H21" s="7"/>
    </row>
    <row r="23" spans="2:8" ht="15" customHeight="1" x14ac:dyDescent="0.35">
      <c r="B23" s="9" t="s">
        <v>18</v>
      </c>
      <c r="C23" s="9"/>
      <c r="D23" s="9"/>
      <c r="E23" s="9"/>
      <c r="F23" s="9"/>
      <c r="G23" s="9"/>
      <c r="H23" s="9"/>
    </row>
    <row r="24" spans="2:8" ht="15" customHeight="1" x14ac:dyDescent="0.35">
      <c r="B24" s="40" t="s">
        <v>19</v>
      </c>
      <c r="C24" s="40"/>
      <c r="D24" s="7" t="s">
        <v>193</v>
      </c>
      <c r="E24" s="7"/>
      <c r="F24" s="7"/>
      <c r="G24" s="7"/>
      <c r="H24" s="7"/>
    </row>
    <row r="25" spans="2:8" ht="15" customHeight="1" x14ac:dyDescent="0.35">
      <c r="B25" s="40" t="s">
        <v>20</v>
      </c>
      <c r="C25" s="40"/>
      <c r="D25" s="7" t="s">
        <v>194</v>
      </c>
      <c r="E25" s="7"/>
      <c r="F25" s="7"/>
      <c r="G25" s="7"/>
      <c r="H25" s="7"/>
    </row>
    <row r="26" spans="2:8" ht="15" customHeight="1" x14ac:dyDescent="0.35">
      <c r="B26" s="40" t="s">
        <v>21</v>
      </c>
      <c r="C26" s="40"/>
      <c r="D26" s="7" t="s">
        <v>195</v>
      </c>
      <c r="E26" s="7"/>
      <c r="F26" s="7"/>
      <c r="G26" s="7"/>
      <c r="H26" s="7"/>
    </row>
    <row r="27" spans="2:8" ht="15" customHeight="1" x14ac:dyDescent="0.35">
      <c r="B27" s="40" t="s">
        <v>22</v>
      </c>
      <c r="C27" s="40"/>
      <c r="D27" s="7" t="s">
        <v>196</v>
      </c>
      <c r="E27" s="7"/>
      <c r="F27" s="7"/>
      <c r="G27" s="7"/>
      <c r="H27" s="7"/>
    </row>
    <row r="28" spans="2:8" ht="15" customHeight="1" x14ac:dyDescent="0.35">
      <c r="B28" s="40" t="s">
        <v>23</v>
      </c>
      <c r="C28" s="40"/>
      <c r="D28" s="7" t="s">
        <v>24</v>
      </c>
      <c r="E28" s="7"/>
      <c r="F28" s="7"/>
      <c r="G28" s="7"/>
      <c r="H28" s="7"/>
    </row>
    <row r="29" spans="2:8" ht="15" customHeight="1" x14ac:dyDescent="0.35">
      <c r="B29" s="40" t="s">
        <v>25</v>
      </c>
      <c r="C29" s="40"/>
      <c r="D29" s="7" t="s">
        <v>197</v>
      </c>
      <c r="E29" s="7"/>
      <c r="F29" s="7"/>
      <c r="G29" s="7"/>
      <c r="H29" s="7"/>
    </row>
  </sheetData>
  <mergeCells count="43">
    <mergeCell ref="B28:C28"/>
    <mergeCell ref="D28:H28"/>
    <mergeCell ref="B29:C29"/>
    <mergeCell ref="D29:H29"/>
    <mergeCell ref="B25:C25"/>
    <mergeCell ref="D25:H25"/>
    <mergeCell ref="B26:C26"/>
    <mergeCell ref="D26:H26"/>
    <mergeCell ref="B27:C27"/>
    <mergeCell ref="D27:H27"/>
    <mergeCell ref="B21:C21"/>
    <mergeCell ref="D21:H21"/>
    <mergeCell ref="B23:H23"/>
    <mergeCell ref="B24:C24"/>
    <mergeCell ref="D24:H24"/>
    <mergeCell ref="B18:C18"/>
    <mergeCell ref="D18:H18"/>
    <mergeCell ref="B19:C19"/>
    <mergeCell ref="D19:H19"/>
    <mergeCell ref="B20:C20"/>
    <mergeCell ref="D20:H20"/>
    <mergeCell ref="B15:C15"/>
    <mergeCell ref="D15:H15"/>
    <mergeCell ref="B16:C16"/>
    <mergeCell ref="D16:H16"/>
    <mergeCell ref="B17:C17"/>
    <mergeCell ref="D17:H17"/>
    <mergeCell ref="B10:D10"/>
    <mergeCell ref="E10:H10"/>
    <mergeCell ref="B11:D11"/>
    <mergeCell ref="E11:H11"/>
    <mergeCell ref="B14:H14"/>
    <mergeCell ref="B7:D7"/>
    <mergeCell ref="E7:H7"/>
    <mergeCell ref="B8:D8"/>
    <mergeCell ref="E8:H8"/>
    <mergeCell ref="B9:D9"/>
    <mergeCell ref="E9:H9"/>
    <mergeCell ref="A2:I2"/>
    <mergeCell ref="A3:I3"/>
    <mergeCell ref="A4:I4"/>
    <mergeCell ref="B6:D6"/>
    <mergeCell ref="E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I29"/>
  <sheetViews>
    <sheetView showGridLines="0" topLeftCell="A26" zoomScaleNormal="100" workbookViewId="0">
      <selection activeCell="D29" sqref="D29:H29"/>
    </sheetView>
  </sheetViews>
  <sheetFormatPr defaultColWidth="8.6328125" defaultRowHeight="14.5" x14ac:dyDescent="0.35"/>
  <cols>
    <col min="1" max="1" width="3" style="15" customWidth="1"/>
    <col min="2" max="2" width="32" style="15" customWidth="1"/>
    <col min="3" max="3" width="26.54296875" style="15" bestFit="1" customWidth="1"/>
    <col min="4" max="8" width="13" style="15" customWidth="1"/>
    <col min="9" max="9" width="20" style="15" customWidth="1"/>
  </cols>
  <sheetData>
    <row r="1" spans="2:9" ht="6" customHeight="1" x14ac:dyDescent="0.35"/>
    <row r="2" spans="2:9" ht="36" customHeight="1" x14ac:dyDescent="0.35">
      <c r="B2" s="41" t="s">
        <v>26</v>
      </c>
      <c r="C2" s="41"/>
      <c r="D2" s="41"/>
      <c r="E2" s="41"/>
      <c r="F2" s="41"/>
      <c r="G2" s="41"/>
      <c r="H2" s="41"/>
      <c r="I2" s="16" t="s">
        <v>199</v>
      </c>
    </row>
    <row r="3" spans="2:9" ht="21.75" customHeight="1" x14ac:dyDescent="0.35">
      <c r="B3" s="17" t="s">
        <v>27</v>
      </c>
      <c r="C3" s="17" t="s">
        <v>28</v>
      </c>
      <c r="D3" s="18" t="s">
        <v>29</v>
      </c>
      <c r="E3" s="18" t="s">
        <v>30</v>
      </c>
      <c r="F3" s="17" t="s">
        <v>31</v>
      </c>
      <c r="G3" s="17" t="s">
        <v>32</v>
      </c>
      <c r="H3" s="17" t="s">
        <v>33</v>
      </c>
    </row>
    <row r="4" spans="2:9" ht="15" customHeight="1" x14ac:dyDescent="0.35">
      <c r="B4" s="42" t="s">
        <v>34</v>
      </c>
      <c r="C4" s="42"/>
      <c r="D4" s="42"/>
      <c r="E4" s="42"/>
      <c r="F4" s="42"/>
      <c r="G4" s="42"/>
      <c r="H4" s="42"/>
    </row>
    <row r="5" spans="2:9" ht="15" customHeight="1" x14ac:dyDescent="0.35">
      <c r="B5" s="20" t="s">
        <v>200</v>
      </c>
      <c r="C5" s="21" t="s">
        <v>35</v>
      </c>
      <c r="D5" s="22">
        <v>45000</v>
      </c>
      <c r="E5" s="22">
        <v>52000</v>
      </c>
      <c r="F5" s="22"/>
      <c r="G5" s="22"/>
      <c r="H5" s="22"/>
    </row>
    <row r="6" spans="2:9" ht="15" customHeight="1" x14ac:dyDescent="0.35">
      <c r="B6" s="20" t="s">
        <v>201</v>
      </c>
      <c r="C6" s="21" t="s">
        <v>36</v>
      </c>
      <c r="D6" s="23"/>
      <c r="E6" s="23"/>
      <c r="F6" s="23">
        <v>0.12</v>
      </c>
      <c r="G6" s="23">
        <v>0.1</v>
      </c>
      <c r="H6" s="23">
        <v>0.09</v>
      </c>
    </row>
    <row r="7" spans="2:9" ht="15" customHeight="1" x14ac:dyDescent="0.35">
      <c r="B7" s="20" t="s">
        <v>37</v>
      </c>
      <c r="C7" s="21" t="s">
        <v>38</v>
      </c>
      <c r="D7" s="22">
        <v>250</v>
      </c>
      <c r="E7" s="22">
        <v>265</v>
      </c>
      <c r="F7" s="22">
        <v>275</v>
      </c>
      <c r="G7" s="22">
        <v>285</v>
      </c>
      <c r="H7" s="22">
        <v>295</v>
      </c>
    </row>
    <row r="8" spans="2:9" ht="15" customHeight="1" x14ac:dyDescent="0.35">
      <c r="B8" s="20" t="s">
        <v>39</v>
      </c>
      <c r="C8" s="21" t="s">
        <v>40</v>
      </c>
      <c r="D8" s="24">
        <v>180</v>
      </c>
      <c r="E8" s="24">
        <v>196</v>
      </c>
      <c r="F8" s="24">
        <v>218</v>
      </c>
      <c r="G8" s="24">
        <v>240</v>
      </c>
      <c r="H8" s="24">
        <v>262</v>
      </c>
    </row>
    <row r="10" spans="2:9" ht="15" customHeight="1" x14ac:dyDescent="0.35">
      <c r="B10" s="42" t="s">
        <v>41</v>
      </c>
      <c r="C10" s="42"/>
      <c r="D10" s="42"/>
      <c r="E10" s="42"/>
      <c r="F10" s="42"/>
      <c r="G10" s="42"/>
      <c r="H10" s="42"/>
    </row>
    <row r="11" spans="2:9" ht="15" customHeight="1" x14ac:dyDescent="0.35">
      <c r="B11" s="20" t="s">
        <v>42</v>
      </c>
      <c r="C11" s="21" t="s">
        <v>43</v>
      </c>
      <c r="D11" s="23">
        <v>0.42</v>
      </c>
      <c r="E11" s="23">
        <v>0.41</v>
      </c>
      <c r="F11" s="23">
        <v>0.4</v>
      </c>
      <c r="G11" s="23">
        <v>0.39</v>
      </c>
      <c r="H11" s="23">
        <v>0.38500000000000001</v>
      </c>
    </row>
    <row r="12" spans="2:9" ht="15" customHeight="1" x14ac:dyDescent="0.35">
      <c r="B12" s="20" t="s">
        <v>44</v>
      </c>
      <c r="C12" s="21" t="s">
        <v>202</v>
      </c>
      <c r="D12" s="23">
        <f>1-D11</f>
        <v>0.58000000000000007</v>
      </c>
      <c r="E12" s="23">
        <f>1-E11</f>
        <v>0.59000000000000008</v>
      </c>
      <c r="F12" s="23">
        <f>1-F11</f>
        <v>0.6</v>
      </c>
      <c r="G12" s="23">
        <f>1-G11</f>
        <v>0.61</v>
      </c>
      <c r="H12" s="23">
        <f>1-H11</f>
        <v>0.61499999999999999</v>
      </c>
    </row>
    <row r="13" spans="2:9" ht="15" customHeight="1" x14ac:dyDescent="0.35">
      <c r="B13" s="20" t="s">
        <v>45</v>
      </c>
      <c r="C13" s="21" t="s">
        <v>46</v>
      </c>
      <c r="D13" s="23">
        <v>0.08</v>
      </c>
      <c r="E13" s="23">
        <v>0.08</v>
      </c>
      <c r="F13" s="23">
        <v>0.09</v>
      </c>
      <c r="G13" s="23">
        <v>0.09</v>
      </c>
      <c r="H13" s="23">
        <v>0.08</v>
      </c>
    </row>
    <row r="14" spans="2:9" ht="15" customHeight="1" x14ac:dyDescent="0.35">
      <c r="B14" s="20" t="s">
        <v>47</v>
      </c>
      <c r="C14" s="21" t="s">
        <v>48</v>
      </c>
      <c r="D14" s="23">
        <v>0.15</v>
      </c>
      <c r="E14" s="23">
        <v>0.14000000000000001</v>
      </c>
      <c r="F14" s="23">
        <v>0.14000000000000001</v>
      </c>
      <c r="G14" s="23">
        <v>0.13</v>
      </c>
      <c r="H14" s="23">
        <v>0.13</v>
      </c>
    </row>
    <row r="15" spans="2:9" ht="15" customHeight="1" x14ac:dyDescent="0.35">
      <c r="B15" s="20" t="s">
        <v>49</v>
      </c>
      <c r="C15" s="21" t="s">
        <v>50</v>
      </c>
      <c r="D15" s="23">
        <v>7.0000000000000007E-2</v>
      </c>
      <c r="E15" s="23">
        <v>7.0000000000000007E-2</v>
      </c>
      <c r="F15" s="23">
        <v>7.0000000000000007E-2</v>
      </c>
      <c r="G15" s="23">
        <v>0.06</v>
      </c>
      <c r="H15" s="23">
        <v>0.06</v>
      </c>
    </row>
    <row r="17" spans="2:8" ht="15" customHeight="1" x14ac:dyDescent="0.35">
      <c r="B17" s="42" t="s">
        <v>51</v>
      </c>
      <c r="C17" s="42"/>
      <c r="D17" s="42"/>
      <c r="E17" s="42"/>
      <c r="F17" s="42"/>
      <c r="G17" s="42"/>
      <c r="H17" s="42"/>
    </row>
    <row r="18" spans="2:8" ht="15" customHeight="1" x14ac:dyDescent="0.35">
      <c r="B18" s="20" t="s">
        <v>52</v>
      </c>
      <c r="C18" s="21" t="s">
        <v>53</v>
      </c>
      <c r="D18" s="24">
        <v>45</v>
      </c>
      <c r="E18" s="24">
        <v>44</v>
      </c>
      <c r="F18" s="24">
        <v>42</v>
      </c>
      <c r="G18" s="24">
        <v>40</v>
      </c>
      <c r="H18" s="24">
        <v>40</v>
      </c>
    </row>
    <row r="19" spans="2:8" ht="15" customHeight="1" x14ac:dyDescent="0.35">
      <c r="B19" s="20" t="s">
        <v>54</v>
      </c>
      <c r="C19" s="21" t="s">
        <v>55</v>
      </c>
      <c r="D19" s="24">
        <v>30</v>
      </c>
      <c r="E19" s="24">
        <v>30</v>
      </c>
      <c r="F19" s="24">
        <v>28</v>
      </c>
      <c r="G19" s="24">
        <v>28</v>
      </c>
      <c r="H19" s="24">
        <v>25</v>
      </c>
    </row>
    <row r="20" spans="2:8" ht="15" customHeight="1" x14ac:dyDescent="0.35">
      <c r="B20" s="20" t="s">
        <v>56</v>
      </c>
      <c r="C20" s="21" t="s">
        <v>57</v>
      </c>
      <c r="D20" s="24">
        <v>35</v>
      </c>
      <c r="E20" s="24">
        <v>36</v>
      </c>
      <c r="F20" s="24">
        <v>38</v>
      </c>
      <c r="G20" s="24">
        <v>40</v>
      </c>
      <c r="H20" s="24">
        <v>42</v>
      </c>
    </row>
    <row r="22" spans="2:8" ht="15" customHeight="1" x14ac:dyDescent="0.35">
      <c r="B22" s="42" t="s">
        <v>58</v>
      </c>
      <c r="C22" s="42"/>
      <c r="D22" s="42"/>
      <c r="E22" s="42"/>
      <c r="F22" s="42"/>
      <c r="G22" s="42"/>
      <c r="H22" s="42"/>
    </row>
    <row r="23" spans="2:8" ht="15" customHeight="1" x14ac:dyDescent="0.35">
      <c r="B23" s="20" t="s">
        <v>59</v>
      </c>
      <c r="C23" s="21" t="s">
        <v>60</v>
      </c>
      <c r="D23" s="23">
        <v>0.04</v>
      </c>
      <c r="E23" s="23">
        <v>0.04</v>
      </c>
      <c r="F23" s="23">
        <v>0.05</v>
      </c>
      <c r="G23" s="23">
        <v>0.05</v>
      </c>
      <c r="H23" s="23">
        <v>0.04</v>
      </c>
    </row>
    <row r="24" spans="2:8" ht="15" customHeight="1" x14ac:dyDescent="0.35">
      <c r="B24" s="20" t="s">
        <v>61</v>
      </c>
      <c r="C24" s="21" t="s">
        <v>62</v>
      </c>
      <c r="D24" s="24">
        <v>5</v>
      </c>
      <c r="E24" s="24">
        <v>5</v>
      </c>
      <c r="F24" s="24">
        <v>5</v>
      </c>
      <c r="G24" s="24">
        <v>5</v>
      </c>
      <c r="H24" s="24">
        <v>5</v>
      </c>
    </row>
    <row r="25" spans="2:8" ht="15" customHeight="1" x14ac:dyDescent="0.35">
      <c r="B25" s="20" t="s">
        <v>63</v>
      </c>
      <c r="C25" s="21" t="s">
        <v>64</v>
      </c>
      <c r="D25" s="23">
        <v>0.21</v>
      </c>
      <c r="E25" s="23">
        <v>0.21</v>
      </c>
      <c r="F25" s="23">
        <v>0.21</v>
      </c>
      <c r="G25" s="23">
        <v>0.21</v>
      </c>
      <c r="H25" s="23">
        <v>0.21</v>
      </c>
    </row>
    <row r="26" spans="2:8" ht="15" customHeight="1" x14ac:dyDescent="0.35">
      <c r="B26" s="20" t="s">
        <v>65</v>
      </c>
      <c r="C26" s="21" t="s">
        <v>66</v>
      </c>
      <c r="D26" s="23">
        <v>5.5E-2</v>
      </c>
      <c r="E26" s="23">
        <v>5.5E-2</v>
      </c>
      <c r="F26" s="23">
        <v>0.06</v>
      </c>
      <c r="G26" s="23">
        <v>0.06</v>
      </c>
      <c r="H26" s="23">
        <v>5.8000000000000003E-2</v>
      </c>
    </row>
    <row r="29" spans="2:8" ht="15" customHeight="1" x14ac:dyDescent="0.35">
      <c r="B29" s="43" t="s">
        <v>203</v>
      </c>
      <c r="C29" s="43"/>
      <c r="D29" s="44" t="s">
        <v>204</v>
      </c>
      <c r="E29" s="44"/>
      <c r="F29" s="44"/>
      <c r="G29" s="44"/>
      <c r="H29" s="44"/>
    </row>
  </sheetData>
  <mergeCells count="7">
    <mergeCell ref="B29:C29"/>
    <mergeCell ref="D29:H29"/>
    <mergeCell ref="B2:H2"/>
    <mergeCell ref="B4:H4"/>
    <mergeCell ref="B10:H10"/>
    <mergeCell ref="B17:H17"/>
    <mergeCell ref="B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9E75"/>
  </sheetPr>
  <dimension ref="A1:H30"/>
  <sheetViews>
    <sheetView showGridLines="0" topLeftCell="A16" zoomScaleNormal="100" workbookViewId="0">
      <selection activeCell="K3" sqref="K3"/>
    </sheetView>
  </sheetViews>
  <sheetFormatPr defaultColWidth="8.6328125" defaultRowHeight="14.5" x14ac:dyDescent="0.35"/>
  <cols>
    <col min="1" max="1" width="3" style="15" customWidth="1"/>
    <col min="2" max="2" width="36" style="15" customWidth="1"/>
    <col min="3" max="3" width="28" style="15" bestFit="1" customWidth="1"/>
    <col min="4" max="8" width="13" style="15" customWidth="1"/>
  </cols>
  <sheetData>
    <row r="1" spans="2:8" ht="6" customHeight="1" x14ac:dyDescent="0.35"/>
    <row r="2" spans="2:8" ht="36" customHeight="1" x14ac:dyDescent="0.35">
      <c r="B2" s="41" t="s">
        <v>67</v>
      </c>
      <c r="C2" s="41"/>
      <c r="D2" s="41"/>
      <c r="E2" s="41"/>
      <c r="F2" s="41"/>
      <c r="G2" s="41"/>
      <c r="H2" s="41"/>
    </row>
    <row r="3" spans="2:8" ht="21.75" customHeight="1" x14ac:dyDescent="0.35">
      <c r="B3" s="17" t="s">
        <v>68</v>
      </c>
      <c r="C3" s="17" t="s">
        <v>28</v>
      </c>
      <c r="D3" s="18" t="s">
        <v>69</v>
      </c>
      <c r="E3" s="18" t="s">
        <v>70</v>
      </c>
      <c r="F3" s="17" t="s">
        <v>71</v>
      </c>
      <c r="G3" s="17" t="s">
        <v>72</v>
      </c>
      <c r="H3" s="17" t="s">
        <v>73</v>
      </c>
    </row>
    <row r="4" spans="2:8" ht="15" customHeight="1" x14ac:dyDescent="0.35">
      <c r="B4" s="42" t="s">
        <v>74</v>
      </c>
      <c r="C4" s="42"/>
      <c r="D4" s="42"/>
      <c r="E4" s="42"/>
      <c r="F4" s="42"/>
      <c r="G4" s="42"/>
      <c r="H4" s="42"/>
    </row>
    <row r="5" spans="2:8" ht="15" customHeight="1" x14ac:dyDescent="0.35">
      <c r="B5" s="25" t="s">
        <v>74</v>
      </c>
      <c r="C5" s="26" t="s">
        <v>75</v>
      </c>
      <c r="D5" s="27">
        <f>Assumptions!D5</f>
        <v>45000</v>
      </c>
      <c r="E5" s="27">
        <f>Assumptions!E5</f>
        <v>52000</v>
      </c>
      <c r="F5" s="27">
        <f>E6*(1+Assumptions!F6)</f>
        <v>58240.000000000007</v>
      </c>
      <c r="G5" s="27">
        <f>F6*(1+Assumptions!G6)</f>
        <v>64064.000000000015</v>
      </c>
      <c r="H5" s="27">
        <f>G6*(1+Assumptions!H6)</f>
        <v>69829.760000000024</v>
      </c>
    </row>
    <row r="6" spans="2:8" ht="15" customHeight="1" x14ac:dyDescent="0.35">
      <c r="B6" s="28" t="s">
        <v>76</v>
      </c>
      <c r="C6" s="26"/>
      <c r="D6" s="29">
        <f>SUM(D5:D5)</f>
        <v>45000</v>
      </c>
      <c r="E6" s="29">
        <f>SUM(E5:E5)</f>
        <v>52000</v>
      </c>
      <c r="F6" s="29">
        <f>SUM(F5:F5)</f>
        <v>58240.000000000007</v>
      </c>
      <c r="G6" s="29">
        <f>SUM(G5:G5)</f>
        <v>64064.000000000015</v>
      </c>
      <c r="H6" s="29">
        <f>SUM(H5:H5)</f>
        <v>69829.760000000024</v>
      </c>
    </row>
    <row r="8" spans="2:8" ht="15" customHeight="1" x14ac:dyDescent="0.35">
      <c r="B8" s="42" t="s">
        <v>77</v>
      </c>
      <c r="C8" s="42"/>
      <c r="D8" s="42"/>
      <c r="E8" s="42"/>
      <c r="F8" s="42"/>
      <c r="G8" s="42"/>
      <c r="H8" s="42"/>
    </row>
    <row r="9" spans="2:8" ht="15" customHeight="1" x14ac:dyDescent="0.35">
      <c r="B9" s="25" t="s">
        <v>78</v>
      </c>
      <c r="C9" s="26" t="s">
        <v>79</v>
      </c>
      <c r="D9" s="27">
        <f>D6*Assumptions!D11</f>
        <v>18900</v>
      </c>
      <c r="E9" s="27">
        <f>E6*Assumptions!E11</f>
        <v>21320</v>
      </c>
      <c r="F9" s="27">
        <f>F6*Assumptions!F11</f>
        <v>23296.000000000004</v>
      </c>
      <c r="G9" s="27">
        <f>G6*Assumptions!G11</f>
        <v>24984.960000000006</v>
      </c>
      <c r="H9" s="27">
        <f>H6*Assumptions!H11</f>
        <v>26884.457600000009</v>
      </c>
    </row>
    <row r="10" spans="2:8" ht="15" customHeight="1" x14ac:dyDescent="0.35">
      <c r="B10" s="28" t="s">
        <v>80</v>
      </c>
      <c r="C10" s="26"/>
      <c r="D10" s="29">
        <f>D6-D9</f>
        <v>26100</v>
      </c>
      <c r="E10" s="29">
        <f>E6-E9</f>
        <v>30680</v>
      </c>
      <c r="F10" s="29">
        <f>F6-F9</f>
        <v>34944</v>
      </c>
      <c r="G10" s="29">
        <f>G6-G9</f>
        <v>39079.040000000008</v>
      </c>
      <c r="H10" s="29">
        <f>H6-H9</f>
        <v>42945.302400000015</v>
      </c>
    </row>
    <row r="11" spans="2:8" ht="15" customHeight="1" x14ac:dyDescent="0.35">
      <c r="B11" s="25" t="s">
        <v>44</v>
      </c>
      <c r="C11" s="26" t="s">
        <v>81</v>
      </c>
      <c r="D11" s="30">
        <f>D10/D6</f>
        <v>0.57999999999999996</v>
      </c>
      <c r="E11" s="30">
        <f>E10/E6</f>
        <v>0.59</v>
      </c>
      <c r="F11" s="30">
        <f>F10/F6</f>
        <v>0.6</v>
      </c>
      <c r="G11" s="30">
        <f>G10/G6</f>
        <v>0.61</v>
      </c>
      <c r="H11" s="30">
        <f>H10/H6</f>
        <v>0.61499999999999999</v>
      </c>
    </row>
    <row r="13" spans="2:8" ht="15" customHeight="1" x14ac:dyDescent="0.35">
      <c r="B13" s="42" t="s">
        <v>82</v>
      </c>
      <c r="C13" s="42"/>
      <c r="D13" s="42"/>
      <c r="E13" s="42"/>
      <c r="F13" s="42"/>
      <c r="G13" s="42"/>
      <c r="H13" s="42"/>
    </row>
    <row r="14" spans="2:8" ht="15" customHeight="1" x14ac:dyDescent="0.35">
      <c r="B14" s="25" t="s">
        <v>83</v>
      </c>
      <c r="C14" s="26" t="s">
        <v>84</v>
      </c>
      <c r="D14" s="27">
        <f>D6*Assumptions!D13</f>
        <v>3600</v>
      </c>
      <c r="E14" s="27">
        <f>E6*Assumptions!E13</f>
        <v>4160</v>
      </c>
      <c r="F14" s="27">
        <f>F6*Assumptions!F13</f>
        <v>5241.6000000000004</v>
      </c>
      <c r="G14" s="27">
        <f>G6*Assumptions!G13</f>
        <v>5765.7600000000011</v>
      </c>
      <c r="H14" s="27">
        <f>H6*Assumptions!H13</f>
        <v>5586.3808000000017</v>
      </c>
    </row>
    <row r="15" spans="2:8" ht="15" customHeight="1" x14ac:dyDescent="0.35">
      <c r="B15" s="25" t="s">
        <v>85</v>
      </c>
      <c r="C15" s="26" t="s">
        <v>86</v>
      </c>
      <c r="D15" s="27">
        <f>D6*Assumptions!D14</f>
        <v>6750</v>
      </c>
      <c r="E15" s="27">
        <f>E6*Assumptions!E14</f>
        <v>7280.0000000000009</v>
      </c>
      <c r="F15" s="27">
        <f>F6*Assumptions!F14</f>
        <v>8153.6000000000022</v>
      </c>
      <c r="G15" s="27">
        <f>G6*Assumptions!G14</f>
        <v>8328.3200000000015</v>
      </c>
      <c r="H15" s="27">
        <f>H6*Assumptions!H14</f>
        <v>9077.8688000000038</v>
      </c>
    </row>
    <row r="16" spans="2:8" ht="15" customHeight="1" x14ac:dyDescent="0.35">
      <c r="B16" s="25" t="s">
        <v>87</v>
      </c>
      <c r="C16" s="26" t="s">
        <v>88</v>
      </c>
      <c r="D16" s="27">
        <f>D6*Assumptions!D15</f>
        <v>3150.0000000000005</v>
      </c>
      <c r="E16" s="27">
        <f>E6*Assumptions!E15</f>
        <v>3640.0000000000005</v>
      </c>
      <c r="F16" s="27">
        <f>F6*Assumptions!F15</f>
        <v>4076.8000000000011</v>
      </c>
      <c r="G16" s="27">
        <f>G6*Assumptions!G15</f>
        <v>3843.8400000000006</v>
      </c>
      <c r="H16" s="27">
        <f>H6*Assumptions!H15</f>
        <v>4189.7856000000011</v>
      </c>
    </row>
    <row r="17" spans="2:8" ht="15" customHeight="1" x14ac:dyDescent="0.35">
      <c r="B17" s="28" t="s">
        <v>89</v>
      </c>
      <c r="C17" s="26"/>
      <c r="D17" s="29">
        <f>D14+D15+D16</f>
        <v>13500</v>
      </c>
      <c r="E17" s="29">
        <f>E14+E15+E16</f>
        <v>15080</v>
      </c>
      <c r="F17" s="29">
        <f>F14+F15+F16</f>
        <v>17472.000000000004</v>
      </c>
      <c r="G17" s="29">
        <f>G14+G15+G16</f>
        <v>17937.920000000002</v>
      </c>
      <c r="H17" s="29">
        <f>H14+H15+H16</f>
        <v>18854.035200000006</v>
      </c>
    </row>
    <row r="19" spans="2:8" ht="15" customHeight="1" x14ac:dyDescent="0.35">
      <c r="B19" s="28" t="s">
        <v>90</v>
      </c>
      <c r="C19" s="26" t="s">
        <v>91</v>
      </c>
      <c r="D19" s="29">
        <f>D10-D17</f>
        <v>12600</v>
      </c>
      <c r="E19" s="29">
        <f>E10-E17</f>
        <v>15600</v>
      </c>
      <c r="F19" s="29">
        <f>F10-F17</f>
        <v>17471.999999999996</v>
      </c>
      <c r="G19" s="29">
        <f>G10-G17</f>
        <v>21141.120000000006</v>
      </c>
      <c r="H19" s="29">
        <f>H10-H17</f>
        <v>24091.267200000009</v>
      </c>
    </row>
    <row r="20" spans="2:8" ht="15" customHeight="1" x14ac:dyDescent="0.35">
      <c r="B20" s="25" t="s">
        <v>92</v>
      </c>
      <c r="C20" s="26" t="s">
        <v>93</v>
      </c>
      <c r="D20" s="30">
        <f>D19/D6</f>
        <v>0.28000000000000003</v>
      </c>
      <c r="E20" s="30">
        <f>E19/E6</f>
        <v>0.3</v>
      </c>
      <c r="F20" s="30">
        <f>F19/F6</f>
        <v>0.29999999999999988</v>
      </c>
      <c r="G20" s="30">
        <f>G19/G6</f>
        <v>0.33</v>
      </c>
      <c r="H20" s="30">
        <f>H19/H6</f>
        <v>0.34500000000000003</v>
      </c>
    </row>
    <row r="22" spans="2:8" ht="15" customHeight="1" x14ac:dyDescent="0.35">
      <c r="B22" s="42" t="s">
        <v>94</v>
      </c>
      <c r="C22" s="42"/>
      <c r="D22" s="42"/>
      <c r="E22" s="42"/>
      <c r="F22" s="42"/>
      <c r="G22" s="42"/>
      <c r="H22" s="42"/>
    </row>
    <row r="23" spans="2:8" ht="15" customHeight="1" x14ac:dyDescent="0.35">
      <c r="B23" s="25" t="s">
        <v>95</v>
      </c>
      <c r="C23" s="26" t="s">
        <v>96</v>
      </c>
      <c r="D23" s="31">
        <v>-1800</v>
      </c>
      <c r="E23" s="31">
        <v>-1800</v>
      </c>
      <c r="F23" s="27">
        <f>-(F6*Assumptions!F23/Assumptions!F24)</f>
        <v>-582.40000000000009</v>
      </c>
      <c r="G23" s="27">
        <f>-(G6*Assumptions!G23/Assumptions!G24)</f>
        <v>-640.6400000000001</v>
      </c>
      <c r="H23" s="27">
        <f>-(H6*Assumptions!H23/Assumptions!H24)</f>
        <v>-558.63808000000017</v>
      </c>
    </row>
    <row r="24" spans="2:8" ht="15" customHeight="1" x14ac:dyDescent="0.35">
      <c r="B24" s="28" t="s">
        <v>97</v>
      </c>
      <c r="C24" s="26"/>
      <c r="D24" s="29">
        <f>D19+D23</f>
        <v>10800</v>
      </c>
      <c r="E24" s="29">
        <f>E19+E23</f>
        <v>13800</v>
      </c>
      <c r="F24" s="29">
        <f>F19+F23</f>
        <v>16889.599999999995</v>
      </c>
      <c r="G24" s="29">
        <f>G19+G23</f>
        <v>20500.480000000007</v>
      </c>
      <c r="H24" s="29">
        <f>H19+H23</f>
        <v>23532.629120000009</v>
      </c>
    </row>
    <row r="25" spans="2:8" ht="15" customHeight="1" x14ac:dyDescent="0.35">
      <c r="B25" s="25" t="s">
        <v>98</v>
      </c>
      <c r="C25" s="26" t="s">
        <v>99</v>
      </c>
      <c r="D25" s="31">
        <v>-990</v>
      </c>
      <c r="E25" s="31">
        <v>-1045</v>
      </c>
      <c r="F25" s="27">
        <f>-(15000*Assumptions!F26)</f>
        <v>-900</v>
      </c>
      <c r="G25" s="27">
        <f>-(14500*Assumptions!G26)</f>
        <v>-870</v>
      </c>
      <c r="H25" s="27">
        <f>-(14000*Assumptions!H26)</f>
        <v>-812</v>
      </c>
    </row>
    <row r="26" spans="2:8" ht="15" customHeight="1" x14ac:dyDescent="0.35">
      <c r="B26" s="28" t="s">
        <v>100</v>
      </c>
      <c r="C26" s="26"/>
      <c r="D26" s="29">
        <f>D24+D25</f>
        <v>9810</v>
      </c>
      <c r="E26" s="29">
        <f>E24+E25</f>
        <v>12755</v>
      </c>
      <c r="F26" s="29">
        <f>F24+F25</f>
        <v>15989.599999999995</v>
      </c>
      <c r="G26" s="29">
        <f>G24+G25</f>
        <v>19630.480000000007</v>
      </c>
      <c r="H26" s="29">
        <f>H24+H25</f>
        <v>22720.629120000009</v>
      </c>
    </row>
    <row r="27" spans="2:8" ht="15" customHeight="1" x14ac:dyDescent="0.35">
      <c r="B27" s="25" t="s">
        <v>101</v>
      </c>
      <c r="C27" s="26" t="s">
        <v>102</v>
      </c>
      <c r="D27" s="27">
        <f>D26*Assumptions!D25</f>
        <v>2060.1</v>
      </c>
      <c r="E27" s="27">
        <f>E26*Assumptions!E25</f>
        <v>2678.5499999999997</v>
      </c>
      <c r="F27" s="27">
        <f>F26*Assumptions!F25</f>
        <v>3357.8159999999989</v>
      </c>
      <c r="G27" s="27">
        <f>G26*Assumptions!G25</f>
        <v>4122.4008000000013</v>
      </c>
      <c r="H27" s="27">
        <f>H26*Assumptions!H25</f>
        <v>4771.3321152000017</v>
      </c>
    </row>
    <row r="29" spans="2:8" ht="15" customHeight="1" x14ac:dyDescent="0.35">
      <c r="B29" s="28" t="s">
        <v>103</v>
      </c>
      <c r="C29" s="26"/>
      <c r="D29" s="29">
        <f>D26-D27</f>
        <v>7749.9</v>
      </c>
      <c r="E29" s="29">
        <f>E26-E27</f>
        <v>10076.450000000001</v>
      </c>
      <c r="F29" s="29">
        <f>F26-F27</f>
        <v>12631.783999999996</v>
      </c>
      <c r="G29" s="29">
        <f>G26-G27</f>
        <v>15508.079200000006</v>
      </c>
      <c r="H29" s="29">
        <f>H26-H27</f>
        <v>17949.297004800006</v>
      </c>
    </row>
    <row r="30" spans="2:8" ht="15" customHeight="1" x14ac:dyDescent="0.35">
      <c r="B30" s="25" t="s">
        <v>104</v>
      </c>
      <c r="C30" s="26" t="s">
        <v>105</v>
      </c>
      <c r="D30" s="30">
        <f>D29/D6</f>
        <v>0.17221999999999998</v>
      </c>
      <c r="E30" s="30">
        <f>E29/E6</f>
        <v>0.19377788461538462</v>
      </c>
      <c r="F30" s="30">
        <f>F29/F6</f>
        <v>0.21689189560439551</v>
      </c>
      <c r="G30" s="30">
        <f>G29/G6</f>
        <v>0.24207166583416587</v>
      </c>
      <c r="H30" s="30">
        <f>H29/H6</f>
        <v>0.25704365881824598</v>
      </c>
    </row>
  </sheetData>
  <mergeCells count="5">
    <mergeCell ref="B2:H2"/>
    <mergeCell ref="B4:H4"/>
    <mergeCell ref="B8:H8"/>
    <mergeCell ref="B13:H13"/>
    <mergeCell ref="B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34AB7"/>
  </sheetPr>
  <dimension ref="A1:H44"/>
  <sheetViews>
    <sheetView showGridLines="0" topLeftCell="A28" zoomScaleNormal="100" workbookViewId="0">
      <selection activeCell="B41" sqref="B41"/>
    </sheetView>
  </sheetViews>
  <sheetFormatPr defaultColWidth="8.6328125" defaultRowHeight="14.5" x14ac:dyDescent="0.35"/>
  <cols>
    <col min="1" max="1" width="3" style="15" customWidth="1"/>
    <col min="2" max="2" width="36" style="15" customWidth="1"/>
    <col min="3" max="3" width="49" style="15" bestFit="1" customWidth="1"/>
    <col min="4" max="8" width="13" style="15" customWidth="1"/>
  </cols>
  <sheetData>
    <row r="1" spans="2:8" ht="6" customHeight="1" x14ac:dyDescent="0.35"/>
    <row r="2" spans="2:8" ht="36" customHeight="1" x14ac:dyDescent="0.35">
      <c r="B2" s="41" t="s">
        <v>106</v>
      </c>
      <c r="C2" s="41"/>
      <c r="D2" s="41"/>
      <c r="E2" s="41"/>
      <c r="F2" s="41"/>
      <c r="G2" s="41"/>
      <c r="H2" s="41"/>
    </row>
    <row r="3" spans="2:8" ht="21.75" customHeight="1" x14ac:dyDescent="0.35">
      <c r="B3" s="17" t="s">
        <v>68</v>
      </c>
      <c r="C3" s="17" t="s">
        <v>28</v>
      </c>
      <c r="D3" s="18" t="s">
        <v>69</v>
      </c>
      <c r="E3" s="18" t="s">
        <v>70</v>
      </c>
      <c r="F3" s="17" t="s">
        <v>71</v>
      </c>
      <c r="G3" s="17" t="s">
        <v>72</v>
      </c>
      <c r="H3" s="17" t="s">
        <v>73</v>
      </c>
    </row>
    <row r="4" spans="2:8" ht="15" customHeight="1" x14ac:dyDescent="0.35">
      <c r="B4" s="42" t="s">
        <v>107</v>
      </c>
      <c r="C4" s="42"/>
      <c r="D4" s="42"/>
      <c r="E4" s="42"/>
      <c r="F4" s="42"/>
      <c r="G4" s="42"/>
      <c r="H4" s="42"/>
    </row>
    <row r="5" spans="2:8" ht="15" customHeight="1" x14ac:dyDescent="0.35">
      <c r="B5" s="42" t="s">
        <v>108</v>
      </c>
      <c r="C5" s="42"/>
      <c r="D5" s="42"/>
      <c r="E5" s="42"/>
      <c r="F5" s="42"/>
      <c r="G5" s="42"/>
      <c r="H5" s="42"/>
    </row>
    <row r="6" spans="2:8" ht="15" customHeight="1" x14ac:dyDescent="0.35">
      <c r="B6" s="25" t="s">
        <v>109</v>
      </c>
      <c r="C6" s="26" t="s">
        <v>205</v>
      </c>
      <c r="D6" s="32">
        <v>8500</v>
      </c>
      <c r="E6" s="27">
        <f>'Cash Flow'!E23</f>
        <v>9200</v>
      </c>
      <c r="F6" s="27">
        <f>'Cash Flow'!F23</f>
        <v>18533.183999999994</v>
      </c>
      <c r="G6" s="27">
        <f>'Cash Flow'!G23</f>
        <v>30529.703199999996</v>
      </c>
      <c r="H6" s="27">
        <f>'Cash Flow'!H23</f>
        <v>45188.4478848</v>
      </c>
    </row>
    <row r="7" spans="2:8" ht="15" customHeight="1" x14ac:dyDescent="0.35">
      <c r="B7" s="25" t="s">
        <v>110</v>
      </c>
      <c r="C7" s="26" t="s">
        <v>111</v>
      </c>
      <c r="D7" s="31">
        <f>ROUND('P&amp;L'!D6*Assumptions!D18/365,0)</f>
        <v>5548</v>
      </c>
      <c r="E7" s="31">
        <f>ROUND('P&amp;L'!E6*Assumptions!E18/365,0)</f>
        <v>6268</v>
      </c>
      <c r="F7" s="27">
        <f>ROUND('P&amp;L'!F6*Assumptions!F18/365,0)</f>
        <v>6702</v>
      </c>
      <c r="G7" s="27">
        <f>ROUND('P&amp;L'!G6*Assumptions!G18/365,0)</f>
        <v>7021</v>
      </c>
      <c r="H7" s="27">
        <f>ROUND('P&amp;L'!H6*Assumptions!H18/365,0)</f>
        <v>7653</v>
      </c>
    </row>
    <row r="8" spans="2:8" ht="15" customHeight="1" x14ac:dyDescent="0.35">
      <c r="B8" s="25" t="s">
        <v>112</v>
      </c>
      <c r="C8" s="26" t="s">
        <v>113</v>
      </c>
      <c r="D8" s="31">
        <f>ROUND('P&amp;L'!D9*Assumptions!D19/365,0)</f>
        <v>1553</v>
      </c>
      <c r="E8" s="31">
        <f>ROUND('P&amp;L'!E9*Assumptions!E19/365,0)</f>
        <v>1752</v>
      </c>
      <c r="F8" s="27">
        <f>ROUND('P&amp;L'!F9*Assumptions!F19/365,0)</f>
        <v>1787</v>
      </c>
      <c r="G8" s="27">
        <f>ROUND('P&amp;L'!G9*Assumptions!G19/365,0)</f>
        <v>1917</v>
      </c>
      <c r="H8" s="27">
        <f>ROUND('P&amp;L'!H9*Assumptions!H19/365,0)</f>
        <v>1841</v>
      </c>
    </row>
    <row r="9" spans="2:8" ht="15" customHeight="1" x14ac:dyDescent="0.35">
      <c r="B9" s="25" t="s">
        <v>114</v>
      </c>
      <c r="C9" s="26" t="s">
        <v>206</v>
      </c>
      <c r="D9" s="31">
        <f>ROUND('P&amp;L'!D6*0.02,0)</f>
        <v>900</v>
      </c>
      <c r="E9" s="31">
        <f>ROUND('P&amp;L'!E6*0.02,0)</f>
        <v>1040</v>
      </c>
      <c r="F9" s="31">
        <f>ROUND('P&amp;L'!F6*0.02,0)</f>
        <v>1165</v>
      </c>
      <c r="G9" s="31">
        <f>ROUND('P&amp;L'!G6*0.02,0)</f>
        <v>1281</v>
      </c>
      <c r="H9" s="31">
        <f>ROUND('P&amp;L'!H6*0.02,0)</f>
        <v>1397</v>
      </c>
    </row>
    <row r="10" spans="2:8" ht="15" customHeight="1" x14ac:dyDescent="0.35">
      <c r="B10" s="28" t="s">
        <v>115</v>
      </c>
      <c r="C10" s="26"/>
      <c r="D10" s="33">
        <f>SUM(D6:D9)</f>
        <v>16501</v>
      </c>
      <c r="E10" s="33">
        <f>SUM(E6:E9)</f>
        <v>18260</v>
      </c>
      <c r="F10" s="33">
        <f>SUM(F6:F9)</f>
        <v>28187.183999999994</v>
      </c>
      <c r="G10" s="33">
        <f>SUM(G6:G9)</f>
        <v>40748.703199999996</v>
      </c>
      <c r="H10" s="33">
        <f>SUM(H6:H9)</f>
        <v>56079.4478848</v>
      </c>
    </row>
    <row r="12" spans="2:8" ht="15" customHeight="1" x14ac:dyDescent="0.35">
      <c r="B12" s="42" t="s">
        <v>116</v>
      </c>
      <c r="C12" s="42"/>
      <c r="D12" s="42"/>
      <c r="E12" s="42"/>
      <c r="F12" s="42"/>
      <c r="G12" s="42"/>
      <c r="H12" s="42"/>
    </row>
    <row r="13" spans="2:8" ht="15" customHeight="1" x14ac:dyDescent="0.35">
      <c r="B13" s="25" t="s">
        <v>117</v>
      </c>
      <c r="C13" s="26" t="s">
        <v>118</v>
      </c>
      <c r="D13" s="31">
        <v>22000</v>
      </c>
      <c r="E13" s="31">
        <f>D13-'Cash Flow'!E13</f>
        <v>24080</v>
      </c>
      <c r="F13" s="31">
        <f>E13-'Cash Flow'!F13</f>
        <v>26992</v>
      </c>
      <c r="G13" s="31">
        <f>F13-'Cash Flow'!G13</f>
        <v>30195.200000000001</v>
      </c>
      <c r="H13" s="31">
        <f>G13-'Cash Flow'!H13</f>
        <v>32988.390400000004</v>
      </c>
    </row>
    <row r="14" spans="2:8" ht="15" customHeight="1" x14ac:dyDescent="0.35">
      <c r="B14" s="25" t="s">
        <v>119</v>
      </c>
      <c r="C14" s="26" t="s">
        <v>120</v>
      </c>
      <c r="D14" s="31">
        <v>-8000</v>
      </c>
      <c r="E14" s="31">
        <f>D14+'P&amp;L'!E23</f>
        <v>-9800</v>
      </c>
      <c r="F14" s="27">
        <f>E14+'P&amp;L'!F23</f>
        <v>-10382.4</v>
      </c>
      <c r="G14" s="27">
        <f>F14+'P&amp;L'!G23</f>
        <v>-11023.039999999999</v>
      </c>
      <c r="H14" s="27">
        <f>G14+'P&amp;L'!H23</f>
        <v>-11581.67808</v>
      </c>
    </row>
    <row r="15" spans="2:8" ht="15" customHeight="1" x14ac:dyDescent="0.35">
      <c r="B15" s="28" t="s">
        <v>121</v>
      </c>
      <c r="C15" s="26"/>
      <c r="D15" s="29">
        <f>D13+D14</f>
        <v>14000</v>
      </c>
      <c r="E15" s="29">
        <f>E13+E14</f>
        <v>14280</v>
      </c>
      <c r="F15" s="29">
        <f>F13+F14</f>
        <v>16609.599999999999</v>
      </c>
      <c r="G15" s="29">
        <f>G13+G14</f>
        <v>19172.160000000003</v>
      </c>
      <c r="H15" s="29">
        <f>H13+H14</f>
        <v>21406.712320000006</v>
      </c>
    </row>
    <row r="16" spans="2:8" ht="15" customHeight="1" x14ac:dyDescent="0.35">
      <c r="B16" s="25" t="s">
        <v>122</v>
      </c>
      <c r="C16" s="26" t="s">
        <v>207</v>
      </c>
      <c r="D16" s="31">
        <v>3500</v>
      </c>
      <c r="E16" s="31">
        <v>3500</v>
      </c>
      <c r="F16" s="31">
        <v>3500</v>
      </c>
      <c r="G16" s="31">
        <v>3500</v>
      </c>
      <c r="H16" s="31">
        <v>3500</v>
      </c>
    </row>
    <row r="17" spans="2:8" ht="18" customHeight="1" x14ac:dyDescent="0.35">
      <c r="B17" s="34" t="s">
        <v>123</v>
      </c>
      <c r="C17" s="26" t="s">
        <v>208</v>
      </c>
      <c r="D17" s="35">
        <v>0</v>
      </c>
      <c r="E17" s="35">
        <v>0</v>
      </c>
      <c r="F17" s="36">
        <f>(F34+F42)-(F10+F15+F16)</f>
        <v>597.00000000000728</v>
      </c>
      <c r="G17" s="36">
        <f>(G34+G42)-(G10+G15+G16)</f>
        <v>894</v>
      </c>
      <c r="H17" s="36">
        <f>(H34+H42)-(H10+H15+H16)</f>
        <v>1234</v>
      </c>
    </row>
    <row r="18" spans="2:8" ht="15" customHeight="1" x14ac:dyDescent="0.35">
      <c r="B18" s="28" t="s">
        <v>124</v>
      </c>
      <c r="C18" s="26"/>
      <c r="D18" s="33">
        <f>SUM(D15:D17)</f>
        <v>17500</v>
      </c>
      <c r="E18" s="33">
        <f>SUM(E15:E17)</f>
        <v>17780</v>
      </c>
      <c r="F18" s="33">
        <f>SUM(F15:F17)</f>
        <v>20706.600000000006</v>
      </c>
      <c r="G18" s="33">
        <f>SUM(G15:G17)</f>
        <v>23566.160000000003</v>
      </c>
      <c r="H18" s="33">
        <f>SUM(H15:H17)</f>
        <v>26140.712320000006</v>
      </c>
    </row>
    <row r="19" spans="2:8" ht="15" customHeight="1" x14ac:dyDescent="0.35"/>
    <row r="20" spans="2:8" ht="15" customHeight="1" x14ac:dyDescent="0.35">
      <c r="B20" s="28" t="s">
        <v>125</v>
      </c>
      <c r="C20" s="26"/>
      <c r="D20" s="33">
        <f>D10+D18</f>
        <v>34001</v>
      </c>
      <c r="E20" s="33">
        <f>E10+E18</f>
        <v>36040</v>
      </c>
      <c r="F20" s="33">
        <f>F10+F18</f>
        <v>48893.784</v>
      </c>
      <c r="G20" s="33">
        <f>G10+G18</f>
        <v>64314.8632</v>
      </c>
      <c r="H20" s="33">
        <f>H10+H18</f>
        <v>82220.160204800006</v>
      </c>
    </row>
    <row r="21" spans="2:8" ht="15" customHeight="1" x14ac:dyDescent="0.35">
      <c r="B21" s="45"/>
      <c r="C21" s="45"/>
      <c r="D21" s="45"/>
      <c r="E21" s="45"/>
      <c r="F21" s="45"/>
      <c r="G21" s="45"/>
      <c r="H21" s="45"/>
    </row>
    <row r="22" spans="2:8" ht="15" customHeight="1" x14ac:dyDescent="0.35">
      <c r="B22" s="42" t="s">
        <v>126</v>
      </c>
      <c r="C22" s="42"/>
      <c r="D22" s="42"/>
      <c r="E22" s="42"/>
      <c r="F22" s="42"/>
      <c r="G22" s="42"/>
      <c r="H22" s="42"/>
    </row>
    <row r="23" spans="2:8" ht="15" customHeight="1" x14ac:dyDescent="0.35">
      <c r="B23" s="19" t="s">
        <v>127</v>
      </c>
      <c r="C23" s="37"/>
      <c r="D23" s="37"/>
      <c r="E23" s="37"/>
      <c r="F23" s="37"/>
      <c r="G23" s="37"/>
      <c r="H23" s="37"/>
    </row>
    <row r="24" spans="2:8" ht="15" customHeight="1" x14ac:dyDescent="0.35">
      <c r="B24" s="25" t="s">
        <v>128</v>
      </c>
      <c r="C24" s="26" t="s">
        <v>129</v>
      </c>
      <c r="D24" s="31">
        <f>ROUND('P&amp;L'!D9*Assumptions!D20/365,0)</f>
        <v>1812</v>
      </c>
      <c r="E24" s="31">
        <f>ROUND('P&amp;L'!E9*Assumptions!E20/365,0)</f>
        <v>2103</v>
      </c>
      <c r="F24" s="27">
        <f>ROUND('P&amp;L'!F9*Assumptions!F20/365,0)</f>
        <v>2425</v>
      </c>
      <c r="G24" s="27">
        <f>ROUND('P&amp;L'!G9*Assumptions!G20/365,0)</f>
        <v>2738</v>
      </c>
      <c r="H24" s="27">
        <f>ROUND('P&amp;L'!H9*Assumptions!H20/365,0)</f>
        <v>3094</v>
      </c>
    </row>
    <row r="25" spans="2:8" ht="15" customHeight="1" x14ac:dyDescent="0.35">
      <c r="B25" s="25" t="s">
        <v>130</v>
      </c>
      <c r="C25" s="26" t="s">
        <v>209</v>
      </c>
      <c r="D25" s="31">
        <v>2000</v>
      </c>
      <c r="E25" s="31">
        <v>2000</v>
      </c>
      <c r="F25" s="31">
        <v>2000</v>
      </c>
      <c r="G25" s="31">
        <v>2000</v>
      </c>
      <c r="H25" s="31">
        <v>2000</v>
      </c>
    </row>
    <row r="26" spans="2:8" ht="15" customHeight="1" x14ac:dyDescent="0.35">
      <c r="B26" s="25" t="s">
        <v>131</v>
      </c>
      <c r="C26" s="26" t="s">
        <v>210</v>
      </c>
      <c r="D26" s="31">
        <f>ROUND('P&amp;L'!D6*0.025,0)</f>
        <v>1125</v>
      </c>
      <c r="E26" s="31">
        <f>ROUND('P&amp;L'!E6*0.025,0)</f>
        <v>1300</v>
      </c>
      <c r="F26" s="32">
        <v>1700</v>
      </c>
      <c r="G26" s="32">
        <v>1800</v>
      </c>
      <c r="H26" s="32">
        <v>1900</v>
      </c>
    </row>
    <row r="27" spans="2:8" ht="15" customHeight="1" x14ac:dyDescent="0.35">
      <c r="B27" s="28" t="s">
        <v>132</v>
      </c>
      <c r="C27" s="26"/>
      <c r="D27" s="33">
        <f>SUM(D24:D26)</f>
        <v>4937</v>
      </c>
      <c r="E27" s="33">
        <f>SUM(E24:E26)</f>
        <v>5403</v>
      </c>
      <c r="F27" s="33">
        <f>SUM(F24:F26)</f>
        <v>6125</v>
      </c>
      <c r="G27" s="33">
        <f>SUM(G24:G26)</f>
        <v>6538</v>
      </c>
      <c r="H27" s="33">
        <f>SUM(H24:H26)</f>
        <v>6994</v>
      </c>
    </row>
    <row r="28" spans="2:8" ht="15" customHeight="1" x14ac:dyDescent="0.35">
      <c r="B28" s="45"/>
      <c r="C28" s="45"/>
      <c r="D28" s="45"/>
      <c r="E28" s="45"/>
      <c r="F28" s="45"/>
      <c r="G28" s="45"/>
      <c r="H28" s="45"/>
    </row>
    <row r="29" spans="2:8" ht="15" customHeight="1" x14ac:dyDescent="0.35">
      <c r="B29" s="19" t="s">
        <v>133</v>
      </c>
      <c r="C29" s="37"/>
      <c r="D29" s="37"/>
      <c r="E29" s="37"/>
      <c r="F29" s="37"/>
      <c r="G29" s="37"/>
      <c r="H29" s="37"/>
    </row>
    <row r="30" spans="2:8" ht="15" customHeight="1" x14ac:dyDescent="0.35">
      <c r="B30" s="25" t="s">
        <v>134</v>
      </c>
      <c r="C30" s="26" t="s">
        <v>135</v>
      </c>
      <c r="D30" s="31">
        <v>16000</v>
      </c>
      <c r="E30" s="31">
        <v>15500</v>
      </c>
      <c r="F30" s="31">
        <v>15000</v>
      </c>
      <c r="G30" s="31">
        <v>14500</v>
      </c>
      <c r="H30" s="31">
        <v>14000</v>
      </c>
    </row>
    <row r="31" spans="2:8" ht="15" customHeight="1" x14ac:dyDescent="0.35">
      <c r="B31" s="25" t="s">
        <v>136</v>
      </c>
      <c r="C31" s="26"/>
      <c r="D31" s="31">
        <v>800</v>
      </c>
      <c r="E31" s="31">
        <v>800</v>
      </c>
      <c r="F31" s="31">
        <v>800</v>
      </c>
      <c r="G31" s="31">
        <v>800</v>
      </c>
      <c r="H31" s="31">
        <v>800</v>
      </c>
    </row>
    <row r="32" spans="2:8" ht="15" customHeight="1" x14ac:dyDescent="0.35">
      <c r="B32" s="28" t="s">
        <v>137</v>
      </c>
      <c r="C32" s="26"/>
      <c r="D32" s="33">
        <f>SUM(D30:D31)</f>
        <v>16800</v>
      </c>
      <c r="E32" s="33">
        <f>SUM(E30:E31)</f>
        <v>16300</v>
      </c>
      <c r="F32" s="33">
        <f>SUM(F30:F31)</f>
        <v>15800</v>
      </c>
      <c r="G32" s="33">
        <f>SUM(G30:G31)</f>
        <v>15300</v>
      </c>
      <c r="H32" s="33">
        <f>SUM(H30:H31)</f>
        <v>14800</v>
      </c>
    </row>
    <row r="33" spans="2:8" ht="15" customHeight="1" x14ac:dyDescent="0.35"/>
    <row r="34" spans="2:8" ht="15" customHeight="1" x14ac:dyDescent="0.35">
      <c r="B34" s="28" t="s">
        <v>138</v>
      </c>
      <c r="C34" s="26"/>
      <c r="D34" s="33">
        <f>D27+D32</f>
        <v>21737</v>
      </c>
      <c r="E34" s="33">
        <f>E27+E32</f>
        <v>21703</v>
      </c>
      <c r="F34" s="33">
        <f>F27+F32</f>
        <v>21925</v>
      </c>
      <c r="G34" s="33">
        <f>G27+G32</f>
        <v>21838</v>
      </c>
      <c r="H34" s="33">
        <f>H27+H32</f>
        <v>21794</v>
      </c>
    </row>
    <row r="35" spans="2:8" ht="15" customHeight="1" x14ac:dyDescent="0.35">
      <c r="B35" s="45"/>
      <c r="C35" s="45"/>
      <c r="D35" s="45"/>
      <c r="E35" s="45"/>
      <c r="F35" s="45"/>
      <c r="G35" s="45"/>
      <c r="H35" s="45"/>
    </row>
    <row r="36" spans="2:8" ht="15" customHeight="1" x14ac:dyDescent="0.35">
      <c r="B36" s="19" t="s">
        <v>139</v>
      </c>
      <c r="C36" s="37"/>
      <c r="D36" s="37"/>
      <c r="E36" s="37"/>
      <c r="F36" s="37"/>
      <c r="G36" s="37"/>
      <c r="H36" s="37"/>
    </row>
    <row r="37" spans="2:8" ht="15" customHeight="1" x14ac:dyDescent="0.35">
      <c r="B37" s="25" t="s">
        <v>140</v>
      </c>
      <c r="C37" s="26"/>
      <c r="D37" s="31">
        <v>12000</v>
      </c>
      <c r="E37" s="31">
        <v>12000</v>
      </c>
      <c r="F37" s="31">
        <v>12000</v>
      </c>
      <c r="G37" s="31">
        <v>12000</v>
      </c>
      <c r="H37" s="31">
        <v>12000</v>
      </c>
    </row>
    <row r="38" spans="2:8" ht="15" customHeight="1" x14ac:dyDescent="0.35">
      <c r="B38" s="25" t="s">
        <v>211</v>
      </c>
      <c r="C38" s="26" t="s">
        <v>141</v>
      </c>
      <c r="D38" s="32">
        <v>-7486</v>
      </c>
      <c r="E38" s="32">
        <v>-7739.45</v>
      </c>
      <c r="F38" s="27">
        <f>E41</f>
        <v>2337.0000000000009</v>
      </c>
      <c r="G38" s="27">
        <f>F41</f>
        <v>14968.783999999996</v>
      </c>
      <c r="H38" s="27">
        <f>G41</f>
        <v>30476.8632</v>
      </c>
    </row>
    <row r="39" spans="2:8" ht="15" customHeight="1" x14ac:dyDescent="0.35">
      <c r="B39" s="25" t="s">
        <v>142</v>
      </c>
      <c r="C39" s="26" t="s">
        <v>212</v>
      </c>
      <c r="D39" s="27">
        <f>'P&amp;L'!D29</f>
        <v>7749.9</v>
      </c>
      <c r="E39" s="27">
        <f>'P&amp;L'!E29</f>
        <v>10076.450000000001</v>
      </c>
      <c r="F39" s="27">
        <f>'P&amp;L'!F29</f>
        <v>12631.783999999996</v>
      </c>
      <c r="G39" s="27">
        <f>'P&amp;L'!G29</f>
        <v>15508.079200000006</v>
      </c>
      <c r="H39" s="27">
        <f>'P&amp;L'!H29</f>
        <v>17949.297004800006</v>
      </c>
    </row>
    <row r="40" spans="2:8" ht="15" customHeight="1" x14ac:dyDescent="0.35">
      <c r="B40" s="25" t="s">
        <v>143</v>
      </c>
      <c r="C40" s="26" t="s">
        <v>213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</row>
    <row r="41" spans="2:8" ht="15" customHeight="1" x14ac:dyDescent="0.35">
      <c r="B41" s="28" t="s">
        <v>214</v>
      </c>
      <c r="C41" s="26"/>
      <c r="D41" s="33">
        <f>D38+D39-D40</f>
        <v>263.89999999999964</v>
      </c>
      <c r="E41" s="33">
        <f>E38+E39-E40</f>
        <v>2337.0000000000009</v>
      </c>
      <c r="F41" s="33">
        <f>F38+F39-F40</f>
        <v>14968.783999999996</v>
      </c>
      <c r="G41" s="33">
        <f>G38+G39-G40</f>
        <v>30476.8632</v>
      </c>
      <c r="H41" s="33">
        <f>H38+H39-H40</f>
        <v>48426.160204800006</v>
      </c>
    </row>
    <row r="42" spans="2:8" ht="15" customHeight="1" x14ac:dyDescent="0.35">
      <c r="B42" s="28" t="s">
        <v>144</v>
      </c>
      <c r="C42" s="26"/>
      <c r="D42" s="33">
        <f>D37+D41</f>
        <v>12263.9</v>
      </c>
      <c r="E42" s="33">
        <f>E37+E41</f>
        <v>14337</v>
      </c>
      <c r="F42" s="33">
        <f>F37+F41</f>
        <v>26968.783999999996</v>
      </c>
      <c r="G42" s="33">
        <f>G37+G41</f>
        <v>42476.8632</v>
      </c>
      <c r="H42" s="33">
        <f>H37+H41</f>
        <v>60426.160204800006</v>
      </c>
    </row>
    <row r="43" spans="2:8" ht="15" customHeight="1" x14ac:dyDescent="0.35"/>
    <row r="44" spans="2:8" ht="15" customHeight="1" x14ac:dyDescent="0.35">
      <c r="B44" s="28" t="s">
        <v>145</v>
      </c>
      <c r="C44" s="26"/>
      <c r="D44" s="33">
        <f>D34+D42</f>
        <v>34000.9</v>
      </c>
      <c r="E44" s="33">
        <f>E34+E42</f>
        <v>36040</v>
      </c>
      <c r="F44" s="33">
        <f>F34+F42</f>
        <v>48893.784</v>
      </c>
      <c r="G44" s="33">
        <f>G34+G42</f>
        <v>64314.8632</v>
      </c>
      <c r="H44" s="33">
        <f>H34+H42</f>
        <v>82220.160204800006</v>
      </c>
    </row>
  </sheetData>
  <mergeCells count="8">
    <mergeCell ref="B22:H22"/>
    <mergeCell ref="B28:H28"/>
    <mergeCell ref="B35:H35"/>
    <mergeCell ref="B2:H2"/>
    <mergeCell ref="B4:H4"/>
    <mergeCell ref="B5:H5"/>
    <mergeCell ref="B12:H12"/>
    <mergeCell ref="B21:H2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85A30"/>
  </sheetPr>
  <dimension ref="A1:H23"/>
  <sheetViews>
    <sheetView showGridLines="0" zoomScaleNormal="100" workbookViewId="0">
      <selection activeCell="C18" sqref="C18"/>
    </sheetView>
  </sheetViews>
  <sheetFormatPr defaultColWidth="8.6328125" defaultRowHeight="14.5" x14ac:dyDescent="0.35"/>
  <cols>
    <col min="1" max="1" width="3" style="15" customWidth="1"/>
    <col min="2" max="2" width="36" style="15" customWidth="1"/>
    <col min="3" max="3" width="27.90625" style="15" bestFit="1" customWidth="1"/>
    <col min="4" max="8" width="13" style="15" customWidth="1"/>
  </cols>
  <sheetData>
    <row r="1" spans="2:8" ht="6" customHeight="1" x14ac:dyDescent="0.35"/>
    <row r="2" spans="2:8" ht="36" customHeight="1" x14ac:dyDescent="0.35">
      <c r="B2" s="41" t="s">
        <v>146</v>
      </c>
      <c r="C2" s="41"/>
      <c r="D2" s="41"/>
      <c r="E2" s="41"/>
      <c r="F2" s="41"/>
      <c r="G2" s="41"/>
      <c r="H2" s="41"/>
    </row>
    <row r="3" spans="2:8" ht="21.75" customHeight="1" x14ac:dyDescent="0.35">
      <c r="B3" s="17" t="s">
        <v>68</v>
      </c>
      <c r="C3" s="17" t="s">
        <v>28</v>
      </c>
      <c r="D3" s="18" t="s">
        <v>69</v>
      </c>
      <c r="E3" s="18" t="s">
        <v>70</v>
      </c>
      <c r="F3" s="17" t="s">
        <v>71</v>
      </c>
      <c r="G3" s="17" t="s">
        <v>72</v>
      </c>
      <c r="H3" s="17" t="s">
        <v>73</v>
      </c>
    </row>
    <row r="4" spans="2:8" ht="15" customHeight="1" x14ac:dyDescent="0.35">
      <c r="B4" s="42" t="s">
        <v>147</v>
      </c>
      <c r="C4" s="42"/>
      <c r="D4" s="42"/>
      <c r="E4" s="42"/>
      <c r="F4" s="42"/>
      <c r="G4" s="42"/>
      <c r="H4" s="42"/>
    </row>
    <row r="5" spans="2:8" ht="15" customHeight="1" x14ac:dyDescent="0.35">
      <c r="B5" s="25" t="s">
        <v>103</v>
      </c>
      <c r="C5" s="26" t="s">
        <v>148</v>
      </c>
      <c r="D5" s="27">
        <f>'P&amp;L'!D29</f>
        <v>7749.9</v>
      </c>
      <c r="E5" s="27">
        <f>'P&amp;L'!E29</f>
        <v>10076.450000000001</v>
      </c>
      <c r="F5" s="27">
        <f>'P&amp;L'!F29</f>
        <v>12631.783999999996</v>
      </c>
      <c r="G5" s="27">
        <f>'P&amp;L'!G29</f>
        <v>15508.079200000006</v>
      </c>
      <c r="H5" s="27">
        <f>'P&amp;L'!H29</f>
        <v>17949.297004800006</v>
      </c>
    </row>
    <row r="6" spans="2:8" ht="15" customHeight="1" x14ac:dyDescent="0.35">
      <c r="B6" s="25" t="s">
        <v>149</v>
      </c>
      <c r="C6" s="26" t="s">
        <v>215</v>
      </c>
      <c r="D6" s="27">
        <v>1800</v>
      </c>
      <c r="E6" s="27">
        <v>2080</v>
      </c>
      <c r="F6" s="27">
        <f>-('P&amp;L'!F23)</f>
        <v>582.40000000000009</v>
      </c>
      <c r="G6" s="27">
        <f>-('P&amp;L'!G23)</f>
        <v>640.6400000000001</v>
      </c>
      <c r="H6" s="27">
        <f>-('P&amp;L'!H23)</f>
        <v>558.63808000000017</v>
      </c>
    </row>
    <row r="7" spans="2:8" ht="15" customHeight="1" x14ac:dyDescent="0.35">
      <c r="B7" s="25" t="s">
        <v>150</v>
      </c>
      <c r="C7" s="26" t="s">
        <v>151</v>
      </c>
      <c r="D7" s="31">
        <v>-325</v>
      </c>
      <c r="E7" s="31">
        <v>-745</v>
      </c>
      <c r="F7" s="27">
        <f>-('Balance Sheet'!F7-'Balance Sheet'!E7)</f>
        <v>-434</v>
      </c>
      <c r="G7" s="27">
        <f>-('Balance Sheet'!G7-'Balance Sheet'!F7)</f>
        <v>-319</v>
      </c>
      <c r="H7" s="27">
        <f>-('Balance Sheet'!H7-'Balance Sheet'!G7)</f>
        <v>-632</v>
      </c>
    </row>
    <row r="8" spans="2:8" ht="15" customHeight="1" x14ac:dyDescent="0.35">
      <c r="B8" s="25" t="s">
        <v>152</v>
      </c>
      <c r="C8" s="26" t="s">
        <v>151</v>
      </c>
      <c r="D8" s="31">
        <v>-200</v>
      </c>
      <c r="E8" s="31">
        <v>-300</v>
      </c>
      <c r="F8" s="27">
        <f>-('Balance Sheet'!F8-'Balance Sheet'!E8)</f>
        <v>-35</v>
      </c>
      <c r="G8" s="27">
        <f>-('Balance Sheet'!G8-'Balance Sheet'!F8)</f>
        <v>-130</v>
      </c>
      <c r="H8" s="27">
        <f>-('Balance Sheet'!H8-'Balance Sheet'!G8)</f>
        <v>76</v>
      </c>
    </row>
    <row r="9" spans="2:8" ht="15" customHeight="1" x14ac:dyDescent="0.35">
      <c r="B9" s="25" t="s">
        <v>153</v>
      </c>
      <c r="C9" s="26" t="s">
        <v>154</v>
      </c>
      <c r="D9" s="31">
        <v>385</v>
      </c>
      <c r="E9" s="31">
        <v>385</v>
      </c>
      <c r="F9" s="27">
        <f>'Balance Sheet'!F23-'Balance Sheet'!E23</f>
        <v>0</v>
      </c>
      <c r="G9" s="27">
        <f>'Balance Sheet'!G23-'Balance Sheet'!F23</f>
        <v>0</v>
      </c>
      <c r="H9" s="27">
        <f>'Balance Sheet'!H23-'Balance Sheet'!G23</f>
        <v>0</v>
      </c>
    </row>
    <row r="10" spans="2:8" ht="15" customHeight="1" x14ac:dyDescent="0.35">
      <c r="B10" s="28" t="s">
        <v>155</v>
      </c>
      <c r="C10" s="26"/>
      <c r="D10" s="29">
        <f>SUM(D5:D9)</f>
        <v>9409.9</v>
      </c>
      <c r="E10" s="29">
        <f>SUM(E5:E9)</f>
        <v>11496.45</v>
      </c>
      <c r="F10" s="29">
        <f>SUM(F5:F9)</f>
        <v>12745.183999999996</v>
      </c>
      <c r="G10" s="29">
        <f>SUM(G5:G9)</f>
        <v>15699.719200000005</v>
      </c>
      <c r="H10" s="29">
        <f>SUM(H5:H9)</f>
        <v>17951.935084800007</v>
      </c>
    </row>
    <row r="12" spans="2:8" ht="15" customHeight="1" x14ac:dyDescent="0.35">
      <c r="B12" s="42" t="s">
        <v>156</v>
      </c>
      <c r="C12" s="42"/>
      <c r="D12" s="42"/>
      <c r="E12" s="42"/>
      <c r="F12" s="42"/>
      <c r="G12" s="42"/>
      <c r="H12" s="42"/>
    </row>
    <row r="13" spans="2:8" ht="15" customHeight="1" x14ac:dyDescent="0.35">
      <c r="B13" s="25" t="s">
        <v>157</v>
      </c>
      <c r="C13" s="26" t="s">
        <v>158</v>
      </c>
      <c r="D13" s="31">
        <v>-1800</v>
      </c>
      <c r="E13" s="31">
        <v>-2080</v>
      </c>
      <c r="F13" s="27">
        <f>-('P&amp;L'!F6*Assumptions!F23)</f>
        <v>-2912.0000000000005</v>
      </c>
      <c r="G13" s="27">
        <f>-('P&amp;L'!G6*Assumptions!G23)</f>
        <v>-3203.2000000000007</v>
      </c>
      <c r="H13" s="27">
        <f>-('P&amp;L'!H6*Assumptions!H23)</f>
        <v>-2793.1904000000009</v>
      </c>
    </row>
    <row r="14" spans="2:8" ht="15" customHeight="1" x14ac:dyDescent="0.35">
      <c r="B14" s="28" t="s">
        <v>159</v>
      </c>
      <c r="C14" s="26"/>
      <c r="D14" s="29">
        <f>D13</f>
        <v>-1800</v>
      </c>
      <c r="E14" s="29">
        <f>E13</f>
        <v>-2080</v>
      </c>
      <c r="F14" s="29">
        <f>F13</f>
        <v>-2912.0000000000005</v>
      </c>
      <c r="G14" s="29">
        <f>G13</f>
        <v>-3203.2000000000007</v>
      </c>
      <c r="H14" s="29">
        <f>H13</f>
        <v>-2793.1904000000009</v>
      </c>
    </row>
    <row r="16" spans="2:8" ht="15" customHeight="1" x14ac:dyDescent="0.35">
      <c r="B16" s="42" t="s">
        <v>160</v>
      </c>
      <c r="C16" s="42"/>
      <c r="D16" s="42"/>
      <c r="E16" s="42"/>
      <c r="F16" s="42"/>
      <c r="G16" s="42"/>
      <c r="H16" s="42"/>
    </row>
    <row r="17" spans="2:8" ht="15" customHeight="1" x14ac:dyDescent="0.35">
      <c r="B17" s="25" t="s">
        <v>161</v>
      </c>
      <c r="C17" s="26" t="s">
        <v>162</v>
      </c>
      <c r="D17" s="31">
        <v>-500</v>
      </c>
      <c r="E17" s="31">
        <v>-500</v>
      </c>
      <c r="F17" s="31">
        <v>-500</v>
      </c>
      <c r="G17" s="31">
        <v>-500</v>
      </c>
      <c r="H17" s="31">
        <v>-500</v>
      </c>
    </row>
    <row r="18" spans="2:8" ht="15" customHeight="1" x14ac:dyDescent="0.35">
      <c r="B18" s="25" t="s">
        <v>143</v>
      </c>
      <c r="C18" s="26" t="s">
        <v>213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</row>
    <row r="19" spans="2:8" ht="15" customHeight="1" x14ac:dyDescent="0.35">
      <c r="B19" s="28" t="s">
        <v>163</v>
      </c>
      <c r="C19" s="26"/>
      <c r="D19" s="29">
        <f>D17+D18</f>
        <v>-500</v>
      </c>
      <c r="E19" s="29">
        <f>E17+E18</f>
        <v>-500</v>
      </c>
      <c r="F19" s="29">
        <f>F17+F18</f>
        <v>-500</v>
      </c>
      <c r="G19" s="29">
        <f>G17+G18</f>
        <v>-500</v>
      </c>
      <c r="H19" s="29">
        <f>H17+H18</f>
        <v>-500</v>
      </c>
    </row>
    <row r="21" spans="2:8" ht="15" customHeight="1" x14ac:dyDescent="0.35">
      <c r="B21" s="28" t="s">
        <v>164</v>
      </c>
      <c r="C21" s="26"/>
      <c r="D21" s="29">
        <f>D10+D14+D19</f>
        <v>7109.9</v>
      </c>
      <c r="E21" s="29">
        <f>E10+E14+E19</f>
        <v>8916.4500000000007</v>
      </c>
      <c r="F21" s="29">
        <f>F10+F14+F19</f>
        <v>9333.1839999999956</v>
      </c>
      <c r="G21" s="29">
        <f>G10+G14+G19</f>
        <v>11996.519200000004</v>
      </c>
      <c r="H21" s="29">
        <f>H10+H14+H19</f>
        <v>14658.744684800005</v>
      </c>
    </row>
    <row r="22" spans="2:8" ht="15" customHeight="1" x14ac:dyDescent="0.35">
      <c r="B22" s="25" t="s">
        <v>165</v>
      </c>
      <c r="C22" s="26" t="s">
        <v>166</v>
      </c>
      <c r="D22" s="32">
        <v>1390.1</v>
      </c>
      <c r="E22" s="32">
        <v>283.55</v>
      </c>
      <c r="F22" s="31">
        <f>E23</f>
        <v>9200</v>
      </c>
      <c r="G22" s="31">
        <f>F23</f>
        <v>18533.183999999994</v>
      </c>
      <c r="H22" s="31">
        <f>G23</f>
        <v>30529.703199999996</v>
      </c>
    </row>
    <row r="23" spans="2:8" ht="15" customHeight="1" x14ac:dyDescent="0.35">
      <c r="B23" s="28" t="s">
        <v>167</v>
      </c>
      <c r="C23" s="26"/>
      <c r="D23" s="29">
        <f>D22+D21</f>
        <v>8500</v>
      </c>
      <c r="E23" s="29">
        <f>E22+E21</f>
        <v>9200</v>
      </c>
      <c r="F23" s="29">
        <f>F22+F21</f>
        <v>18533.183999999994</v>
      </c>
      <c r="G23" s="29">
        <f>G22+G21</f>
        <v>30529.703199999996</v>
      </c>
      <c r="H23" s="29">
        <f>H22+H21</f>
        <v>45188.4478848</v>
      </c>
    </row>
  </sheetData>
  <mergeCells count="4">
    <mergeCell ref="B2:H2"/>
    <mergeCell ref="B4:H4"/>
    <mergeCell ref="B12:H12"/>
    <mergeCell ref="B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32D2D"/>
  </sheetPr>
  <dimension ref="A1:H16"/>
  <sheetViews>
    <sheetView showGridLines="0" tabSelected="1" zoomScaleNormal="100" workbookViewId="0">
      <selection activeCell="B16" sqref="B16:H16"/>
    </sheetView>
  </sheetViews>
  <sheetFormatPr defaultColWidth="8.6328125" defaultRowHeight="14.5" x14ac:dyDescent="0.35"/>
  <cols>
    <col min="1" max="1" width="3" style="15" customWidth="1"/>
    <col min="2" max="2" width="36" style="15" customWidth="1"/>
    <col min="3" max="3" width="45.90625" style="15" bestFit="1" customWidth="1"/>
    <col min="4" max="8" width="13" style="15" customWidth="1"/>
  </cols>
  <sheetData>
    <row r="1" spans="2:8" ht="6" customHeight="1" x14ac:dyDescent="0.35"/>
    <row r="2" spans="2:8" ht="36" customHeight="1" x14ac:dyDescent="0.35">
      <c r="B2" s="41" t="s">
        <v>168</v>
      </c>
      <c r="C2" s="41"/>
      <c r="D2" s="41"/>
      <c r="E2" s="41"/>
      <c r="F2" s="41"/>
      <c r="G2" s="41"/>
      <c r="H2" s="41"/>
    </row>
    <row r="3" spans="2:8" ht="21.75" customHeight="1" x14ac:dyDescent="0.35">
      <c r="B3" s="17" t="s">
        <v>169</v>
      </c>
      <c r="C3" s="17" t="s">
        <v>170</v>
      </c>
      <c r="D3" s="18" t="s">
        <v>69</v>
      </c>
      <c r="E3" s="18" t="s">
        <v>70</v>
      </c>
      <c r="F3" s="17" t="s">
        <v>71</v>
      </c>
      <c r="G3" s="17" t="s">
        <v>72</v>
      </c>
      <c r="H3" s="17" t="s">
        <v>73</v>
      </c>
    </row>
    <row r="4" spans="2:8" ht="15" customHeight="1" x14ac:dyDescent="0.35">
      <c r="B4" s="42" t="s">
        <v>171</v>
      </c>
      <c r="C4" s="42"/>
      <c r="D4" s="42"/>
      <c r="E4" s="42"/>
      <c r="F4" s="42"/>
      <c r="G4" s="42"/>
      <c r="H4" s="42"/>
    </row>
    <row r="5" spans="2:8" ht="21.75" customHeight="1" x14ac:dyDescent="0.35">
      <c r="B5" s="28" t="s">
        <v>172</v>
      </c>
      <c r="C5" s="26" t="s">
        <v>173</v>
      </c>
      <c r="D5" s="38">
        <f>ROUND('Balance Sheet'!D20-'Balance Sheet'!D44,0)</f>
        <v>0</v>
      </c>
      <c r="E5" s="38">
        <f>ROUND('Balance Sheet'!E20-'Balance Sheet'!E44,0)</f>
        <v>0</v>
      </c>
      <c r="F5" s="38">
        <f>ROUND('Balance Sheet'!F20-'Balance Sheet'!F44,0)</f>
        <v>0</v>
      </c>
      <c r="G5" s="38">
        <f>ROUND('Balance Sheet'!G20-'Balance Sheet'!G44,0)</f>
        <v>0</v>
      </c>
      <c r="H5" s="38">
        <f>ROUND('Balance Sheet'!H20-'Balance Sheet'!H44,0)</f>
        <v>0</v>
      </c>
    </row>
    <row r="6" spans="2:8" ht="21.75" customHeight="1" x14ac:dyDescent="0.35">
      <c r="B6" s="28" t="s">
        <v>174</v>
      </c>
      <c r="C6" s="26" t="s">
        <v>175</v>
      </c>
      <c r="D6" s="38">
        <f>'Balance Sheet'!D6-'Cash Flow'!D23</f>
        <v>0</v>
      </c>
      <c r="E6" s="38">
        <f>'Balance Sheet'!E6-'Cash Flow'!E23</f>
        <v>0</v>
      </c>
      <c r="F6" s="38">
        <f>'Balance Sheet'!F6-'Cash Flow'!F23</f>
        <v>0</v>
      </c>
      <c r="G6" s="38">
        <f>'Balance Sheet'!G6-'Cash Flow'!G23</f>
        <v>0</v>
      </c>
      <c r="H6" s="38">
        <f>'Balance Sheet'!H6-'Cash Flow'!H23</f>
        <v>0</v>
      </c>
    </row>
    <row r="7" spans="2:8" ht="21.75" customHeight="1" x14ac:dyDescent="0.35">
      <c r="B7" s="28" t="s">
        <v>176</v>
      </c>
      <c r="C7" s="26" t="s">
        <v>177</v>
      </c>
      <c r="D7" s="38">
        <f>'Cash Flow'!D5-'P&amp;L'!D29</f>
        <v>0</v>
      </c>
      <c r="E7" s="38">
        <f>'Cash Flow'!E5-'P&amp;L'!E29</f>
        <v>0</v>
      </c>
      <c r="F7" s="38">
        <f>'Cash Flow'!F5-'P&amp;L'!F29</f>
        <v>0</v>
      </c>
      <c r="G7" s="38">
        <f>'Cash Flow'!G5-'P&amp;L'!G29</f>
        <v>0</v>
      </c>
      <c r="H7" s="38">
        <f>'Cash Flow'!H5-'P&amp;L'!H29</f>
        <v>0</v>
      </c>
    </row>
    <row r="8" spans="2:8" ht="15.75" customHeight="1" x14ac:dyDescent="0.35">
      <c r="B8" s="46" t="s">
        <v>216</v>
      </c>
      <c r="C8" s="46"/>
      <c r="D8" s="46"/>
      <c r="E8" s="46"/>
      <c r="F8" s="46"/>
      <c r="G8" s="46"/>
      <c r="H8" s="46"/>
    </row>
    <row r="9" spans="2:8" ht="21.75" customHeight="1" x14ac:dyDescent="0.35">
      <c r="B9" s="47" t="s">
        <v>178</v>
      </c>
      <c r="C9" s="47"/>
      <c r="D9" s="39" t="str">
        <f>IF(ABS(D5)+ABS(D6)+ABS(D7)=0,"OK","ERROR")</f>
        <v>OK</v>
      </c>
      <c r="E9" s="39" t="str">
        <f>IF(ABS(E5)+ABS(E6)+ABS(E7)=0,"OK","ERROR")</f>
        <v>OK</v>
      </c>
      <c r="F9" s="39" t="str">
        <f>IF(ABS(F5)+ABS(F6)+ABS(F7)=0,"OK","ERROR")</f>
        <v>OK</v>
      </c>
      <c r="G9" s="39" t="str">
        <f>IF(ABS(G5)+ABS(G6)+ABS(G7)=0,"OK","ERROR")</f>
        <v>OK</v>
      </c>
      <c r="H9" s="39" t="str">
        <f>IF(ABS(H5)+ABS(H6)+ABS(H7)=0,"OK","ERROR")</f>
        <v>OK</v>
      </c>
    </row>
    <row r="11" spans="2:8" ht="15" customHeight="1" x14ac:dyDescent="0.35">
      <c r="B11" s="42" t="s">
        <v>179</v>
      </c>
      <c r="C11" s="42"/>
      <c r="D11" s="42"/>
      <c r="E11" s="42"/>
      <c r="F11" s="42"/>
      <c r="G11" s="42"/>
      <c r="H11" s="42"/>
    </row>
    <row r="12" spans="2:8" ht="30" customHeight="1" x14ac:dyDescent="0.35">
      <c r="B12" s="48" t="s">
        <v>180</v>
      </c>
      <c r="C12" s="48"/>
      <c r="D12" s="48"/>
      <c r="E12" s="48"/>
      <c r="F12" s="48"/>
      <c r="G12" s="48"/>
      <c r="H12" s="48"/>
    </row>
    <row r="13" spans="2:8" ht="30" customHeight="1" x14ac:dyDescent="0.35">
      <c r="B13" s="49" t="s">
        <v>181</v>
      </c>
      <c r="C13" s="49"/>
      <c r="D13" s="49"/>
      <c r="E13" s="49"/>
      <c r="F13" s="49"/>
      <c r="G13" s="49"/>
      <c r="H13" s="49"/>
    </row>
    <row r="14" spans="2:8" ht="30" customHeight="1" x14ac:dyDescent="0.35">
      <c r="B14" s="48" t="s">
        <v>182</v>
      </c>
      <c r="C14" s="48"/>
      <c r="D14" s="48"/>
      <c r="E14" s="48"/>
      <c r="F14" s="48"/>
      <c r="G14" s="48"/>
      <c r="H14" s="48"/>
    </row>
    <row r="15" spans="2:8" ht="30" customHeight="1" x14ac:dyDescent="0.35">
      <c r="B15" s="49" t="s">
        <v>183</v>
      </c>
      <c r="C15" s="49"/>
      <c r="D15" s="49"/>
      <c r="E15" s="49"/>
      <c r="F15" s="49"/>
      <c r="G15" s="49"/>
      <c r="H15" s="49"/>
    </row>
    <row r="16" spans="2:8" ht="30" customHeight="1" x14ac:dyDescent="0.35">
      <c r="B16" s="48" t="s">
        <v>217</v>
      </c>
      <c r="C16" s="48"/>
      <c r="D16" s="48"/>
      <c r="E16" s="48"/>
      <c r="F16" s="48"/>
      <c r="G16" s="48"/>
      <c r="H16" s="48"/>
    </row>
  </sheetData>
  <mergeCells count="10">
    <mergeCell ref="B12:H12"/>
    <mergeCell ref="B13:H13"/>
    <mergeCell ref="B14:H14"/>
    <mergeCell ref="B15:H15"/>
    <mergeCell ref="B16:H16"/>
    <mergeCell ref="B2:H2"/>
    <mergeCell ref="B4:H4"/>
    <mergeCell ref="B8:H8"/>
    <mergeCell ref="B9:C9"/>
    <mergeCell ref="B11:H11"/>
  </mergeCells>
  <conditionalFormatting sqref="D9">
    <cfRule type="expression" dxfId="43" priority="2">
      <formula>D9="OK"</formula>
    </cfRule>
    <cfRule type="expression" dxfId="42" priority="3">
      <formula>D9="ERROR"</formula>
    </cfRule>
  </conditionalFormatting>
  <conditionalFormatting sqref="E9">
    <cfRule type="expression" dxfId="41" priority="4">
      <formula>E9="OK"</formula>
    </cfRule>
    <cfRule type="expression" dxfId="40" priority="5">
      <formula>E9="ERROR"</formula>
    </cfRule>
  </conditionalFormatting>
  <conditionalFormatting sqref="F9">
    <cfRule type="expression" dxfId="39" priority="6">
      <formula>F9="OK"</formula>
    </cfRule>
    <cfRule type="expression" dxfId="38" priority="7">
      <formula>F9="ERROR"</formula>
    </cfRule>
  </conditionalFormatting>
  <conditionalFormatting sqref="G9">
    <cfRule type="expression" dxfId="37" priority="8">
      <formula>G9="OK"</formula>
    </cfRule>
    <cfRule type="expression" dxfId="36" priority="9">
      <formula>G9="ERROR"</formula>
    </cfRule>
  </conditionalFormatting>
  <conditionalFormatting sqref="H9">
    <cfRule type="expression" dxfId="35" priority="10">
      <formula>H9="OK"</formula>
    </cfRule>
    <cfRule type="expression" dxfId="34" priority="11">
      <formula>H9="ERROR"</formula>
    </cfRule>
  </conditionalFormatting>
  <conditionalFormatting sqref="D5">
    <cfRule type="expression" dxfId="33" priority="12">
      <formula>D5=0</formula>
    </cfRule>
    <cfRule type="expression" dxfId="32" priority="13">
      <formula>D5&lt;&gt;0</formula>
    </cfRule>
  </conditionalFormatting>
  <conditionalFormatting sqref="E5">
    <cfRule type="expression" dxfId="31" priority="14">
      <formula>E5=0</formula>
    </cfRule>
    <cfRule type="expression" dxfId="30" priority="15">
      <formula>E5&lt;&gt;0</formula>
    </cfRule>
  </conditionalFormatting>
  <conditionalFormatting sqref="F5">
    <cfRule type="expression" dxfId="29" priority="16">
      <formula>F5=0</formula>
    </cfRule>
    <cfRule type="expression" dxfId="28" priority="17">
      <formula>F5&lt;&gt;0</formula>
    </cfRule>
  </conditionalFormatting>
  <conditionalFormatting sqref="G5">
    <cfRule type="expression" dxfId="27" priority="18">
      <formula>G5=0</formula>
    </cfRule>
    <cfRule type="expression" dxfId="26" priority="19">
      <formula>G5&lt;&gt;0</formula>
    </cfRule>
  </conditionalFormatting>
  <conditionalFormatting sqref="H5">
    <cfRule type="expression" dxfId="25" priority="20">
      <formula>H5=0</formula>
    </cfRule>
    <cfRule type="expression" dxfId="24" priority="21">
      <formula>H5&lt;&gt;0</formula>
    </cfRule>
  </conditionalFormatting>
  <conditionalFormatting sqref="D6">
    <cfRule type="expression" dxfId="23" priority="22">
      <formula>D6=0</formula>
    </cfRule>
    <cfRule type="expression" dxfId="22" priority="23">
      <formula>D6&lt;&gt;0</formula>
    </cfRule>
  </conditionalFormatting>
  <conditionalFormatting sqref="E6">
    <cfRule type="expression" dxfId="21" priority="24">
      <formula>E6=0</formula>
    </cfRule>
    <cfRule type="expression" dxfId="20" priority="25">
      <formula>E6&lt;&gt;0</formula>
    </cfRule>
  </conditionalFormatting>
  <conditionalFormatting sqref="F6">
    <cfRule type="expression" dxfId="19" priority="26">
      <formula>F6=0</formula>
    </cfRule>
    <cfRule type="expression" dxfId="18" priority="27">
      <formula>F6&lt;&gt;0</formula>
    </cfRule>
  </conditionalFormatting>
  <conditionalFormatting sqref="G6">
    <cfRule type="expression" dxfId="17" priority="28">
      <formula>G6=0</formula>
    </cfRule>
    <cfRule type="expression" dxfId="16" priority="29">
      <formula>G6&lt;&gt;0</formula>
    </cfRule>
  </conditionalFormatting>
  <conditionalFormatting sqref="H6">
    <cfRule type="expression" dxfId="15" priority="30">
      <formula>H6=0</formula>
    </cfRule>
    <cfRule type="expression" dxfId="14" priority="31">
      <formula>H6&lt;&gt;0</formula>
    </cfRule>
  </conditionalFormatting>
  <conditionalFormatting sqref="D7">
    <cfRule type="expression" dxfId="13" priority="32">
      <formula>D7=0</formula>
    </cfRule>
    <cfRule type="expression" dxfId="12" priority="33">
      <formula>D7&lt;&gt;0</formula>
    </cfRule>
  </conditionalFormatting>
  <conditionalFormatting sqref="E7">
    <cfRule type="expression" dxfId="11" priority="34">
      <formula>E7=0</formula>
    </cfRule>
    <cfRule type="expression" dxfId="10" priority="35">
      <formula>E7&lt;&gt;0</formula>
    </cfRule>
  </conditionalFormatting>
  <conditionalFormatting sqref="F7">
    <cfRule type="expression" dxfId="9" priority="36">
      <formula>F7=0</formula>
    </cfRule>
    <cfRule type="expression" dxfId="8" priority="37">
      <formula>F7&lt;&gt;0</formula>
    </cfRule>
  </conditionalFormatting>
  <conditionalFormatting sqref="G7">
    <cfRule type="expression" dxfId="7" priority="38">
      <formula>G7=0</formula>
    </cfRule>
    <cfRule type="expression" dxfId="6" priority="39">
      <formula>G7&lt;&gt;0</formula>
    </cfRule>
  </conditionalFormatting>
  <conditionalFormatting sqref="H7">
    <cfRule type="expression" dxfId="5" priority="40">
      <formula>H7=0</formula>
    </cfRule>
    <cfRule type="expression" dxfId="4" priority="41">
      <formula>H7&lt;&gt;0</formula>
    </cfRule>
  </conditionalFormatting>
  <conditionalFormatting sqref="D5:H7">
    <cfRule type="cellIs" dxfId="3" priority="42" operator="equal">
      <formula>0</formula>
    </cfRule>
    <cfRule type="cellIs" dxfId="2" priority="43" operator="notEqual">
      <formula>0</formula>
    </cfRule>
  </conditionalFormatting>
  <conditionalFormatting sqref="D9:H9">
    <cfRule type="cellIs" dxfId="1" priority="44" operator="equal">
      <formula>"OK"</formula>
    </cfRule>
    <cfRule type="cellIs" dxfId="0" priority="45" operator="equal">
      <formula>"ERROR"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P&amp;L</vt:lpstr>
      <vt:lpstr>Balance Sheet</vt:lpstr>
      <vt:lpstr>Cash Flow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2026-04-30T02:55:12Z</dcterms:created>
  <dcterms:modified xsi:type="dcterms:W3CDTF">2026-05-06T06:09:30Z</dcterms:modified>
  <dc:language>en-US</dc:language>
</cp:coreProperties>
</file>